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egocordoba/Desktop/"/>
    </mc:Choice>
  </mc:AlternateContent>
  <xr:revisionPtr revIDLastSave="0" documentId="8_{314C925F-AFF6-2E48-A7BC-BCF54E330166}" xr6:coauthVersionLast="47" xr6:coauthVersionMax="47" xr10:uidLastSave="{00000000-0000-0000-0000-000000000000}"/>
  <bookViews>
    <workbookView xWindow="1700" yWindow="880" windowWidth="30460" windowHeight="20540" xr2:uid="{234355C2-2B5D-4B21-A7D7-4E02ED4E77DB}"/>
  </bookViews>
  <sheets>
    <sheet name="Table 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5" i="1" l="1"/>
  <c r="R25" i="1"/>
  <c r="P25" i="1"/>
  <c r="R24" i="1"/>
  <c r="Q24" i="1"/>
  <c r="P24" i="1"/>
  <c r="K13" i="1"/>
  <c r="K14" i="1"/>
  <c r="K15" i="1"/>
  <c r="K16" i="1"/>
  <c r="K17" i="1"/>
  <c r="K18" i="1"/>
  <c r="L18" i="1" s="1"/>
  <c r="K19" i="1"/>
  <c r="L19" i="1" s="1"/>
  <c r="K20" i="1"/>
  <c r="L20" i="1" s="1"/>
  <c r="K21" i="1"/>
  <c r="K12" i="1"/>
  <c r="L15" i="1"/>
  <c r="L12" i="1"/>
  <c r="J22" i="1"/>
  <c r="X16" i="1"/>
  <c r="W16" i="1"/>
  <c r="Y17" i="1"/>
  <c r="Y18" i="1"/>
  <c r="Y16" i="1"/>
  <c r="X17" i="1"/>
  <c r="X18" i="1"/>
  <c r="W18" i="1"/>
  <c r="W17" i="1"/>
  <c r="R21" i="1"/>
  <c r="O12" i="1" a="1"/>
  <c r="O12" i="1" s="1"/>
  <c r="N12" i="1" a="1"/>
  <c r="N12" i="1" s="1"/>
  <c r="M12" i="1" a="1"/>
  <c r="M12" i="1" s="1"/>
  <c r="L13" i="1"/>
  <c r="P13" i="1" s="1"/>
  <c r="L14" i="1"/>
  <c r="P14" i="1" s="1"/>
  <c r="L16" i="1"/>
  <c r="R16" i="1" s="1"/>
  <c r="L17" i="1"/>
  <c r="P17" i="1" s="1"/>
  <c r="L21" i="1"/>
  <c r="P21" i="1" s="1"/>
  <c r="J13" i="1"/>
  <c r="J14" i="1"/>
  <c r="J15" i="1"/>
  <c r="J16" i="1"/>
  <c r="J17" i="1"/>
  <c r="J18" i="1"/>
  <c r="J19" i="1"/>
  <c r="J20" i="1"/>
  <c r="J21" i="1"/>
  <c r="J12" i="1"/>
  <c r="I12" i="1"/>
  <c r="I22" i="1"/>
  <c r="I13" i="1"/>
  <c r="I14" i="1"/>
  <c r="I15" i="1"/>
  <c r="I16" i="1"/>
  <c r="I17" i="1"/>
  <c r="I18" i="1"/>
  <c r="I19" i="1"/>
  <c r="I20" i="1"/>
  <c r="I21" i="1"/>
  <c r="H13" i="1"/>
  <c r="H14" i="1"/>
  <c r="H15" i="1"/>
  <c r="H16" i="1"/>
  <c r="H17" i="1"/>
  <c r="H18" i="1"/>
  <c r="H19" i="1"/>
  <c r="H20" i="1"/>
  <c r="H21" i="1"/>
  <c r="H12" i="1"/>
  <c r="F12" i="1" a="1"/>
  <c r="F12" i="1" s="1"/>
  <c r="P18" i="1" l="1"/>
  <c r="Q18" i="1"/>
  <c r="R18" i="1"/>
  <c r="R17" i="1"/>
  <c r="Q17" i="1"/>
  <c r="R13" i="1"/>
  <c r="Q13" i="1"/>
  <c r="P20" i="1"/>
  <c r="Q20" i="1"/>
  <c r="R20" i="1"/>
  <c r="Q19" i="1"/>
  <c r="R19" i="1"/>
  <c r="P19" i="1"/>
  <c r="P15" i="1"/>
  <c r="Q15" i="1"/>
  <c r="R15" i="1"/>
  <c r="Q16" i="1"/>
  <c r="Q21" i="1"/>
  <c r="P16" i="1"/>
  <c r="R14" i="1"/>
  <c r="Q14" i="1"/>
  <c r="Q12" i="1"/>
  <c r="R12" i="1"/>
  <c r="P12" i="1"/>
  <c r="P22" i="1" s="1"/>
  <c r="Q22" i="1" l="1"/>
  <c r="R2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<sst xmlns="http://schemas.openxmlformats.org/spreadsheetml/2006/main" count="47" uniqueCount="43">
  <si>
    <t>1Y</t>
  </si>
  <si>
    <t>2Y</t>
  </si>
  <si>
    <t>3Y</t>
  </si>
  <si>
    <t>4Y</t>
  </si>
  <si>
    <t>5Y</t>
  </si>
  <si>
    <t>6Y</t>
  </si>
  <si>
    <t>7Y</t>
  </si>
  <si>
    <t>8Y</t>
  </si>
  <si>
    <t>9Y</t>
  </si>
  <si>
    <t>10Y</t>
  </si>
  <si>
    <t>r1</t>
  </si>
  <si>
    <t>betaL</t>
  </si>
  <si>
    <t>betaS</t>
  </si>
  <si>
    <t>betaC</t>
  </si>
  <si>
    <t>Bond</t>
  </si>
  <si>
    <t>Notional</t>
  </si>
  <si>
    <t>coupon</t>
  </si>
  <si>
    <t>np=nc</t>
  </si>
  <si>
    <t>Maturity</t>
  </si>
  <si>
    <t>Y</t>
  </si>
  <si>
    <t>Ti</t>
  </si>
  <si>
    <t>Rate</t>
  </si>
  <si>
    <t>assumed</t>
  </si>
  <si>
    <t>1m</t>
  </si>
  <si>
    <t>´May 1990</t>
  </si>
  <si>
    <t>´Sep 1990</t>
  </si>
  <si>
    <t>time to maturity</t>
  </si>
  <si>
    <t>CF</t>
  </si>
  <si>
    <t>Z</t>
  </si>
  <si>
    <t>Rates</t>
  </si>
  <si>
    <t>CF*Z</t>
  </si>
  <si>
    <t>wi</t>
  </si>
  <si>
    <t>Dz</t>
  </si>
  <si>
    <t>wiD</t>
  </si>
  <si>
    <t>DzL</t>
  </si>
  <si>
    <t>DzS</t>
  </si>
  <si>
    <t>DzC</t>
  </si>
  <si>
    <t>Change in rates</t>
  </si>
  <si>
    <t>L</t>
  </si>
  <si>
    <t>S</t>
  </si>
  <si>
    <t>C</t>
  </si>
  <si>
    <t>dP</t>
  </si>
  <si>
    <t>dP/P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</si>
</sst>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%"/>
    <numFmt numFmtId="165" formatCode="0.0000"/>
    <numFmt numFmtId="166" formatCode="0.0%"/>
    <numFmt numFmtId="170" formatCode="0.00000"/>
  </numFmts>
  <fonts count="2" x14ac:knownFonts="1">
    <font>
      <sz val="12"/>
      <color theme="1"/>
      <name val="Calibri"/>
      <family val="2"/>
    </font>
    <font>
      <sz val="12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  <xf numFmtId="10" fontId="0" fillId="0" borderId="0" xfId="0" applyNumberFormat="1"/>
    <xf numFmtId="9" fontId="0" fillId="0" borderId="0" xfId="0" applyNumberFormat="1"/>
    <xf numFmtId="1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right"/>
    </xf>
    <xf numFmtId="1" fontId="0" fillId="0" borderId="0" xfId="0" applyNumberFormat="1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E38D-02DD-4F43-BD65-544BEF6BF980}">
  <dimension ref="B3:Y25"/>
  <sheetViews>
    <sheetView tabSelected="1" topLeftCell="D1" workbookViewId="0">
      <selection activeCell="R33" sqref="R33"/>
    </sheetView>
  </sheetViews>
  <sheetFormatPr baseColWidth="10" defaultColWidth="8.83203125" defaultRowHeight="16" x14ac:dyDescent="0.2"/>
  <cols>
    <col min="5" max="5" width="14.6640625" bestFit="1" customWidth="1"/>
    <col min="6" max="6" width="14.6640625" customWidth="1"/>
    <col min="9" max="9" width="14.33203125" bestFit="1" customWidth="1"/>
    <col min="18" max="18" width="9.6640625" bestFit="1" customWidth="1"/>
    <col min="23" max="23" width="9.83203125" bestFit="1" customWidth="1"/>
    <col min="24" max="24" width="9.1640625" bestFit="1" customWidth="1"/>
    <col min="25" max="25" width="13.83203125" bestFit="1" customWidth="1"/>
  </cols>
  <sheetData>
    <row r="3" spans="2:25" x14ac:dyDescent="0.2">
      <c r="C3" t="s">
        <v>0</v>
      </c>
      <c r="D3" t="s">
        <v>1</v>
      </c>
      <c r="E3" t="s">
        <v>2</v>
      </c>
      <c r="F3" t="s">
        <v>3</v>
      </c>
      <c r="G3" t="s">
        <v>4</v>
      </c>
      <c r="H3" t="s">
        <v>5</v>
      </c>
      <c r="I3" t="s">
        <v>6</v>
      </c>
      <c r="J3" t="s">
        <v>7</v>
      </c>
      <c r="K3" t="s">
        <v>8</v>
      </c>
      <c r="L3" t="s">
        <v>9</v>
      </c>
      <c r="W3" s="7" t="s">
        <v>24</v>
      </c>
      <c r="X3" s="7" t="s">
        <v>25</v>
      </c>
    </row>
    <row r="4" spans="2:25" x14ac:dyDescent="0.2">
      <c r="B4" t="s">
        <v>10</v>
      </c>
      <c r="C4" s="1">
        <v>4.088E-2</v>
      </c>
      <c r="D4" s="1">
        <v>3.9570000000000001E-2</v>
      </c>
      <c r="E4" s="1">
        <v>4.002E-2</v>
      </c>
      <c r="F4" s="1">
        <v>4.1012E-2</v>
      </c>
      <c r="G4" s="1">
        <v>4.2040000000000001E-2</v>
      </c>
      <c r="H4" s="1">
        <v>4.2852000000000001E-2</v>
      </c>
      <c r="I4" s="1">
        <v>4.3499999999999997E-2</v>
      </c>
      <c r="J4" s="1">
        <v>4.4115000000000001E-2</v>
      </c>
      <c r="K4" s="1">
        <v>4.4824999999999997E-2</v>
      </c>
      <c r="L4" s="1">
        <v>4.5760000000000002E-2</v>
      </c>
      <c r="V4" t="s">
        <v>20</v>
      </c>
      <c r="W4" t="s">
        <v>21</v>
      </c>
      <c r="X4" t="s">
        <v>21</v>
      </c>
      <c r="Y4" t="s">
        <v>37</v>
      </c>
    </row>
    <row r="5" spans="2:25" x14ac:dyDescent="0.2">
      <c r="B5" t="s">
        <v>11</v>
      </c>
      <c r="C5" s="2">
        <v>0.99250000000000005</v>
      </c>
      <c r="D5" s="2">
        <v>1.0119</v>
      </c>
      <c r="E5" s="2">
        <v>1.0238</v>
      </c>
      <c r="F5" s="2">
        <v>1.0117</v>
      </c>
      <c r="G5" s="2">
        <v>0.99250000000000005</v>
      </c>
      <c r="H5" s="2">
        <v>0.98599999999999999</v>
      </c>
      <c r="I5" s="2">
        <v>0.99029999999999996</v>
      </c>
      <c r="J5" s="2">
        <v>0.99770000000000003</v>
      </c>
      <c r="K5" s="2">
        <v>1.0009999999999999</v>
      </c>
      <c r="L5" s="2">
        <v>0.99250000000000005</v>
      </c>
      <c r="U5" s="8" t="s">
        <v>22</v>
      </c>
      <c r="V5" s="9" t="s">
        <v>23</v>
      </c>
      <c r="W5" s="8">
        <v>0.08</v>
      </c>
      <c r="X5" s="8">
        <v>7.5999999999999998E-2</v>
      </c>
    </row>
    <row r="6" spans="2:25" x14ac:dyDescent="0.2">
      <c r="B6" t="s">
        <v>12</v>
      </c>
      <c r="C6" s="2">
        <v>-0.52239999999999998</v>
      </c>
      <c r="D6" s="2">
        <v>-0.45610000000000001</v>
      </c>
      <c r="E6" s="2">
        <v>-0.33139999999999997</v>
      </c>
      <c r="F6" s="2">
        <v>-0.17699999999999999</v>
      </c>
      <c r="G6" s="2">
        <v>-2.24E-2</v>
      </c>
      <c r="H6" s="2">
        <v>0.10879999999999999</v>
      </c>
      <c r="I6" s="2">
        <v>0.2175</v>
      </c>
      <c r="J6" s="2">
        <v>0.31059999999999999</v>
      </c>
      <c r="K6" s="2">
        <v>0.39489999999999997</v>
      </c>
      <c r="L6" s="2">
        <v>0.47760000000000002</v>
      </c>
      <c r="V6">
        <v>1</v>
      </c>
      <c r="W6">
        <v>8.3000000000000004E-2</v>
      </c>
      <c r="X6">
        <v>7.6300000000000007E-2</v>
      </c>
    </row>
    <row r="7" spans="2:25" x14ac:dyDescent="0.2">
      <c r="B7" t="s">
        <v>13</v>
      </c>
      <c r="C7" s="2">
        <v>-0.2893</v>
      </c>
      <c r="D7" s="2">
        <v>0.1052</v>
      </c>
      <c r="E7" s="2">
        <v>0.21879999999999999</v>
      </c>
      <c r="F7" s="2">
        <v>0.2419</v>
      </c>
      <c r="G7" s="2">
        <v>0.2107</v>
      </c>
      <c r="H7" s="2">
        <v>0.127</v>
      </c>
      <c r="I7" s="2">
        <v>1.0699999999999999E-2</v>
      </c>
      <c r="J7" s="2">
        <v>-0.1137</v>
      </c>
      <c r="K7" s="2">
        <v>-0.2218</v>
      </c>
      <c r="L7" s="2">
        <v>-0.2893</v>
      </c>
      <c r="V7">
        <v>2</v>
      </c>
      <c r="W7">
        <v>8.5599999999999996E-2</v>
      </c>
      <c r="X7">
        <v>7.9000000000000001E-2</v>
      </c>
    </row>
    <row r="8" spans="2:25" x14ac:dyDescent="0.2">
      <c r="V8">
        <v>3</v>
      </c>
      <c r="W8">
        <v>8.6199999999999999E-2</v>
      </c>
      <c r="X8">
        <v>8.1199999999999994E-2</v>
      </c>
    </row>
    <row r="9" spans="2:25" x14ac:dyDescent="0.2">
      <c r="V9">
        <v>4</v>
      </c>
      <c r="W9">
        <v>8.6099999999999996E-2</v>
      </c>
      <c r="X9">
        <v>8.2000000000000003E-2</v>
      </c>
    </row>
    <row r="10" spans="2:25" x14ac:dyDescent="0.2">
      <c r="V10">
        <v>5</v>
      </c>
      <c r="W10">
        <v>8.5999999999999993E-2</v>
      </c>
      <c r="X10">
        <v>8.3000000000000004E-2</v>
      </c>
    </row>
    <row r="11" spans="2:25" x14ac:dyDescent="0.2">
      <c r="B11" t="s">
        <v>14</v>
      </c>
      <c r="E11" t="s">
        <v>26</v>
      </c>
      <c r="F11" t="s">
        <v>29</v>
      </c>
      <c r="G11" t="s">
        <v>27</v>
      </c>
      <c r="H11" t="s">
        <v>28</v>
      </c>
      <c r="I11" t="s">
        <v>30</v>
      </c>
      <c r="J11" t="s">
        <v>31</v>
      </c>
      <c r="K11" t="s">
        <v>32</v>
      </c>
      <c r="L11" t="s">
        <v>33</v>
      </c>
      <c r="M11" t="s">
        <v>11</v>
      </c>
      <c r="N11" t="s">
        <v>12</v>
      </c>
      <c r="O11" t="s">
        <v>13</v>
      </c>
      <c r="P11" t="s">
        <v>34</v>
      </c>
      <c r="Q11" t="s">
        <v>35</v>
      </c>
      <c r="R11" t="s">
        <v>36</v>
      </c>
      <c r="V11">
        <v>6</v>
      </c>
      <c r="W11">
        <v>8.6199999999999999E-2</v>
      </c>
      <c r="X11">
        <v>8.4199999999999997E-2</v>
      </c>
    </row>
    <row r="12" spans="2:25" x14ac:dyDescent="0.2">
      <c r="B12" t="s">
        <v>18</v>
      </c>
      <c r="C12">
        <v>10</v>
      </c>
      <c r="D12" t="s">
        <v>19</v>
      </c>
      <c r="E12">
        <v>1</v>
      </c>
      <c r="F12" cm="1">
        <f t="array" ref="F12:F21">TRANSPOSE(C4:L4)</f>
        <v>4.088E-2</v>
      </c>
      <c r="G12">
        <v>4</v>
      </c>
      <c r="H12">
        <f>1/(1+F12)^(E12-0)</f>
        <v>0.96072553992775345</v>
      </c>
      <c r="I12">
        <f>G12*H12</f>
        <v>3.8429021597110138</v>
      </c>
      <c r="J12">
        <f>I12/$I$22</f>
        <v>4.0092356089051435E-2</v>
      </c>
      <c r="K12">
        <f>(E12/(1+F12))</f>
        <v>0.96072553992775345</v>
      </c>
      <c r="L12">
        <f>K12*J12</f>
        <v>3.8517750450629697E-2</v>
      </c>
      <c r="M12" cm="1">
        <f t="array" ref="M12:M21">TRANSPOSE(C5:L5)</f>
        <v>0.99250000000000005</v>
      </c>
      <c r="N12" cm="1">
        <f t="array" ref="N12:N21">TRANSPOSE(C6:L6)</f>
        <v>-0.52239999999999998</v>
      </c>
      <c r="O12" cm="1">
        <f t="array" ref="O12:O21">TRANSPOSE(C7:L7)</f>
        <v>-0.2893</v>
      </c>
      <c r="P12">
        <f>M12*L12</f>
        <v>3.8228867322249976E-2</v>
      </c>
      <c r="Q12">
        <f>N12*L12</f>
        <v>-2.0121672835408954E-2</v>
      </c>
      <c r="R12">
        <f>O12*L12</f>
        <v>-1.1143185205367171E-2</v>
      </c>
      <c r="V12">
        <v>7</v>
      </c>
      <c r="W12">
        <v>8.6400000000000005E-2</v>
      </c>
      <c r="X12">
        <v>8.5599999999999996E-2</v>
      </c>
    </row>
    <row r="13" spans="2:25" x14ac:dyDescent="0.2">
      <c r="B13" t="s">
        <v>15</v>
      </c>
      <c r="C13">
        <v>100</v>
      </c>
      <c r="E13">
        <v>2</v>
      </c>
      <c r="F13">
        <v>3.9570000000000001E-2</v>
      </c>
      <c r="G13">
        <v>4</v>
      </c>
      <c r="H13">
        <f t="shared" ref="H13:H21" si="0">1/(1+F13)^(E13-0)</f>
        <v>0.92532122430762409</v>
      </c>
      <c r="I13">
        <f t="shared" ref="I13:I21" si="1">G13*H13</f>
        <v>3.7012848972304964</v>
      </c>
      <c r="J13">
        <f t="shared" ref="J13:J21" si="2">I13/$I$22</f>
        <v>3.8614886853625324E-2</v>
      </c>
      <c r="K13">
        <f t="shared" ref="K13:K21" si="3">(E13/(1+F13))</f>
        <v>1.9238723703069536</v>
      </c>
      <c r="L13">
        <f t="shared" ref="L13:L21" si="4">K13*J13</f>
        <v>7.4290113900218974E-2</v>
      </c>
      <c r="M13">
        <v>1.0119</v>
      </c>
      <c r="N13">
        <v>-0.45610000000000001</v>
      </c>
      <c r="O13">
        <v>0.1052</v>
      </c>
      <c r="P13">
        <f t="shared" ref="P13:P21" si="5">M13*L13</f>
        <v>7.5174166255631586E-2</v>
      </c>
      <c r="Q13">
        <f t="shared" ref="Q13:Q21" si="6">N13*L13</f>
        <v>-3.3883720949889874E-2</v>
      </c>
      <c r="R13">
        <f t="shared" ref="R13:R21" si="7">O13*L13</f>
        <v>7.8153199823030369E-3</v>
      </c>
      <c r="V13">
        <v>8</v>
      </c>
      <c r="W13">
        <v>8.6400000000000005E-2</v>
      </c>
      <c r="X13">
        <v>8.5999999999999993E-2</v>
      </c>
    </row>
    <row r="14" spans="2:25" x14ac:dyDescent="0.2">
      <c r="B14" t="s">
        <v>16</v>
      </c>
      <c r="C14" s="6">
        <v>0.04</v>
      </c>
      <c r="D14" s="6"/>
      <c r="E14">
        <v>3</v>
      </c>
      <c r="F14">
        <v>4.002E-2</v>
      </c>
      <c r="G14">
        <v>4</v>
      </c>
      <c r="H14">
        <f t="shared" si="0"/>
        <v>0.88894507239201503</v>
      </c>
      <c r="I14">
        <f t="shared" si="1"/>
        <v>3.5557802895680601</v>
      </c>
      <c r="J14">
        <f t="shared" si="2"/>
        <v>3.7096861595485836E-2</v>
      </c>
      <c r="K14">
        <f t="shared" si="3"/>
        <v>2.884559912309379</v>
      </c>
      <c r="L14">
        <f t="shared" si="4"/>
        <v>0.10700811983082779</v>
      </c>
      <c r="M14">
        <v>1.0238</v>
      </c>
      <c r="N14">
        <v>-0.33139999999999997</v>
      </c>
      <c r="O14">
        <v>0.21879999999999999</v>
      </c>
      <c r="P14">
        <f t="shared" si="5"/>
        <v>0.10955491308280151</v>
      </c>
      <c r="Q14">
        <f t="shared" si="6"/>
        <v>-3.5462490911936331E-2</v>
      </c>
      <c r="R14">
        <f t="shared" si="7"/>
        <v>2.341337661898512E-2</v>
      </c>
      <c r="V14">
        <v>9</v>
      </c>
      <c r="W14">
        <v>8.6400000000000005E-2</v>
      </c>
      <c r="X14">
        <v>8.6599999999999996E-2</v>
      </c>
    </row>
    <row r="15" spans="2:25" x14ac:dyDescent="0.2">
      <c r="B15" t="s">
        <v>17</v>
      </c>
      <c r="C15">
        <v>1</v>
      </c>
      <c r="E15">
        <v>4</v>
      </c>
      <c r="F15">
        <v>4.1012E-2</v>
      </c>
      <c r="G15">
        <v>4</v>
      </c>
      <c r="H15">
        <f t="shared" si="0"/>
        <v>0.8514851083350532</v>
      </c>
      <c r="I15">
        <f t="shared" si="1"/>
        <v>3.4059404333402128</v>
      </c>
      <c r="J15">
        <f t="shared" si="2"/>
        <v>3.5533607413476977E-2</v>
      </c>
      <c r="K15">
        <f t="shared" si="3"/>
        <v>3.8424148809043506</v>
      </c>
      <c r="L15">
        <f t="shared" si="4"/>
        <v>0.1365348618977571</v>
      </c>
      <c r="M15">
        <v>1.0117</v>
      </c>
      <c r="N15">
        <v>-0.17699999999999999</v>
      </c>
      <c r="O15">
        <v>0.2419</v>
      </c>
      <c r="P15">
        <f t="shared" si="5"/>
        <v>0.13813231978196086</v>
      </c>
      <c r="Q15">
        <f t="shared" si="6"/>
        <v>-2.4166670555903005E-2</v>
      </c>
      <c r="R15">
        <f t="shared" si="7"/>
        <v>3.3027783093067441E-2</v>
      </c>
      <c r="V15">
        <v>10</v>
      </c>
      <c r="W15">
        <v>8.6400000000000005E-2</v>
      </c>
      <c r="X15">
        <v>8.72E-2</v>
      </c>
    </row>
    <row r="16" spans="2:25" x14ac:dyDescent="0.2">
      <c r="C16" s="3"/>
      <c r="D16" s="3"/>
      <c r="E16">
        <v>5</v>
      </c>
      <c r="F16">
        <v>4.2040000000000001E-2</v>
      </c>
      <c r="G16">
        <v>4</v>
      </c>
      <c r="H16">
        <f t="shared" si="0"/>
        <v>0.81391311943923905</v>
      </c>
      <c r="I16">
        <f t="shared" si="1"/>
        <v>3.2556524777569562</v>
      </c>
      <c r="J16">
        <f t="shared" si="2"/>
        <v>3.3965678285769865E-2</v>
      </c>
      <c r="K16">
        <f t="shared" si="3"/>
        <v>4.7982802963417903</v>
      </c>
      <c r="L16">
        <f t="shared" si="4"/>
        <v>0.16297684487049374</v>
      </c>
      <c r="M16">
        <v>0.99250000000000005</v>
      </c>
      <c r="N16">
        <v>-2.24E-2</v>
      </c>
      <c r="O16">
        <v>0.2107</v>
      </c>
      <c r="P16">
        <f t="shared" si="5"/>
        <v>0.16175451853396505</v>
      </c>
      <c r="Q16">
        <f t="shared" si="6"/>
        <v>-3.6506813250990599E-3</v>
      </c>
      <c r="R16">
        <f t="shared" si="7"/>
        <v>3.4339221214213032E-2</v>
      </c>
      <c r="V16" t="s">
        <v>38</v>
      </c>
      <c r="W16">
        <f>AVERAGE(W5:W15)</f>
        <v>8.5336363636363641E-2</v>
      </c>
      <c r="X16">
        <f>AVERAGE(X5:X15)</f>
        <v>8.2463636363636364E-2</v>
      </c>
      <c r="Y16" s="11">
        <f>X16-W16</f>
        <v>-2.8727272727272768E-3</v>
      </c>
    </row>
    <row r="17" spans="3:25" x14ac:dyDescent="0.2">
      <c r="E17">
        <v>6</v>
      </c>
      <c r="F17">
        <v>4.2852000000000001E-2</v>
      </c>
      <c r="G17">
        <v>4</v>
      </c>
      <c r="H17">
        <f t="shared" si="0"/>
        <v>0.77743471563731548</v>
      </c>
      <c r="I17">
        <f t="shared" si="1"/>
        <v>3.1097388625492619</v>
      </c>
      <c r="J17">
        <f t="shared" si="2"/>
        <v>3.2443385920255245E-2</v>
      </c>
      <c r="K17">
        <f t="shared" si="3"/>
        <v>5.7534530307272753</v>
      </c>
      <c r="L17">
        <f t="shared" si="4"/>
        <v>0.18666149704994714</v>
      </c>
      <c r="M17">
        <v>0.98599999999999999</v>
      </c>
      <c r="N17">
        <v>0.10879999999999999</v>
      </c>
      <c r="O17">
        <v>0.127</v>
      </c>
      <c r="P17">
        <f t="shared" si="5"/>
        <v>0.18404823609124787</v>
      </c>
      <c r="Q17">
        <f t="shared" si="6"/>
        <v>2.0308770879034248E-2</v>
      </c>
      <c r="R17">
        <f t="shared" si="7"/>
        <v>2.3706010125343287E-2</v>
      </c>
      <c r="V17" t="s">
        <v>39</v>
      </c>
      <c r="W17">
        <f>W15-W5</f>
        <v>6.4000000000000029E-3</v>
      </c>
      <c r="X17">
        <f>X15-X5</f>
        <v>1.1200000000000002E-2</v>
      </c>
      <c r="Y17" s="2">
        <f t="shared" ref="Y17:Y18" si="8">X17-W17</f>
        <v>4.7999999999999987E-3</v>
      </c>
    </row>
    <row r="18" spans="3:25" x14ac:dyDescent="0.2">
      <c r="D18" s="5"/>
      <c r="E18">
        <v>7</v>
      </c>
      <c r="F18">
        <v>4.3499999999999997E-2</v>
      </c>
      <c r="G18">
        <v>4</v>
      </c>
      <c r="H18">
        <f t="shared" si="0"/>
        <v>0.74225447770524344</v>
      </c>
      <c r="I18">
        <f t="shared" si="1"/>
        <v>2.9690179108209738</v>
      </c>
      <c r="J18">
        <f t="shared" si="2"/>
        <v>3.0975267745134958E-2</v>
      </c>
      <c r="K18">
        <f t="shared" si="3"/>
        <v>6.7081935793004304</v>
      </c>
      <c r="L18">
        <f t="shared" si="4"/>
        <v>0.20778809220502603</v>
      </c>
      <c r="M18">
        <v>0.99029999999999996</v>
      </c>
      <c r="N18">
        <v>0.2175</v>
      </c>
      <c r="O18">
        <v>1.0699999999999999E-2</v>
      </c>
      <c r="P18">
        <f t="shared" si="5"/>
        <v>0.20577254771063727</v>
      </c>
      <c r="Q18">
        <f t="shared" si="6"/>
        <v>4.519391005459316E-2</v>
      </c>
      <c r="R18">
        <f t="shared" si="7"/>
        <v>2.2233325865937785E-3</v>
      </c>
      <c r="V18" t="s">
        <v>40</v>
      </c>
      <c r="W18">
        <f>-W5+2*W10-W15</f>
        <v>5.59999999999998E-3</v>
      </c>
      <c r="X18">
        <f>-X5+2*X10-X15</f>
        <v>2.8000000000000108E-3</v>
      </c>
      <c r="Y18" s="2">
        <f t="shared" si="8"/>
        <v>-2.7999999999999692E-3</v>
      </c>
    </row>
    <row r="19" spans="3:25" x14ac:dyDescent="0.2">
      <c r="C19" s="6"/>
      <c r="D19" s="5"/>
      <c r="E19">
        <v>8</v>
      </c>
      <c r="F19">
        <v>4.4115000000000001E-2</v>
      </c>
      <c r="G19" s="10">
        <v>4</v>
      </c>
      <c r="H19">
        <f t="shared" si="0"/>
        <v>0.70796749794053637</v>
      </c>
      <c r="I19">
        <f t="shared" si="1"/>
        <v>2.8318699917621455</v>
      </c>
      <c r="J19">
        <f t="shared" si="2"/>
        <v>2.9544426422806722E-2</v>
      </c>
      <c r="K19">
        <f t="shared" si="3"/>
        <v>7.6619912557524801</v>
      </c>
      <c r="L19">
        <f t="shared" si="4"/>
        <v>0.22636913690776764</v>
      </c>
      <c r="M19">
        <v>0.99770000000000003</v>
      </c>
      <c r="N19">
        <v>0.31059999999999999</v>
      </c>
      <c r="O19">
        <v>-0.1137</v>
      </c>
      <c r="P19">
        <f t="shared" si="5"/>
        <v>0.22584848789287978</v>
      </c>
      <c r="Q19">
        <f t="shared" si="6"/>
        <v>7.0310253923552626E-2</v>
      </c>
      <c r="R19">
        <f t="shared" si="7"/>
        <v>-2.5738170866413179E-2</v>
      </c>
    </row>
    <row r="20" spans="3:25" x14ac:dyDescent="0.2">
      <c r="C20" s="6"/>
      <c r="D20" s="6"/>
      <c r="E20">
        <v>9</v>
      </c>
      <c r="F20">
        <v>4.4824999999999997E-2</v>
      </c>
      <c r="G20" s="10">
        <v>4</v>
      </c>
      <c r="H20">
        <f t="shared" si="0"/>
        <v>0.67391946354117904</v>
      </c>
      <c r="I20">
        <f t="shared" si="1"/>
        <v>2.6956778541647162</v>
      </c>
      <c r="J20">
        <f t="shared" si="2"/>
        <v>2.8123556608755602E-2</v>
      </c>
      <c r="K20">
        <f t="shared" si="3"/>
        <v>8.6138827076304647</v>
      </c>
      <c r="L20">
        <f t="shared" si="4"/>
        <v>0.24225301794922635</v>
      </c>
      <c r="M20">
        <v>1.0009999999999999</v>
      </c>
      <c r="N20">
        <v>0.39489999999999997</v>
      </c>
      <c r="O20">
        <v>-0.2218</v>
      </c>
      <c r="P20">
        <f t="shared" si="5"/>
        <v>0.24249527096717555</v>
      </c>
      <c r="Q20">
        <f t="shared" si="6"/>
        <v>9.5665716788149474E-2</v>
      </c>
      <c r="R20">
        <f t="shared" si="7"/>
        <v>-5.3731719381138403E-2</v>
      </c>
    </row>
    <row r="21" spans="3:25" x14ac:dyDescent="0.2">
      <c r="C21" s="6"/>
      <c r="D21" s="6"/>
      <c r="E21">
        <v>10</v>
      </c>
      <c r="F21" s="4">
        <v>4.5760000000000002E-2</v>
      </c>
      <c r="G21" s="10">
        <v>104</v>
      </c>
      <c r="H21">
        <f t="shared" si="0"/>
        <v>0.63926324969110504</v>
      </c>
      <c r="I21">
        <f t="shared" si="1"/>
        <v>66.483377967874929</v>
      </c>
      <c r="J21">
        <f t="shared" si="2"/>
        <v>0.69360997306563799</v>
      </c>
      <c r="K21">
        <f t="shared" si="3"/>
        <v>9.5624235006119953</v>
      </c>
      <c r="L21">
        <f t="shared" si="4"/>
        <v>6.6325923067017101</v>
      </c>
      <c r="M21">
        <v>0.99250000000000005</v>
      </c>
      <c r="N21">
        <v>0.47760000000000002</v>
      </c>
      <c r="O21">
        <v>-0.2893</v>
      </c>
      <c r="P21">
        <f t="shared" si="5"/>
        <v>6.5828478644014474</v>
      </c>
      <c r="Q21">
        <f t="shared" si="6"/>
        <v>3.1677260856807368</v>
      </c>
      <c r="R21">
        <f t="shared" si="7"/>
        <v>-1.9188089543288047</v>
      </c>
    </row>
    <row r="22" spans="3:25" x14ac:dyDescent="0.2">
      <c r="C22" s="6"/>
      <c r="D22" s="6"/>
      <c r="E22" s="4"/>
      <c r="G22" s="4"/>
      <c r="H22" s="4"/>
      <c r="I22">
        <f>SUM(I12:I21)</f>
        <v>95.851242844778767</v>
      </c>
      <c r="J22">
        <f>SUM(J12:J21)</f>
        <v>1</v>
      </c>
      <c r="P22">
        <f>SUM(P12:P21)</f>
        <v>7.9638571920399972</v>
      </c>
      <c r="Q22">
        <f t="shared" ref="Q22:R22" si="9">SUM(Q12:Q21)</f>
        <v>3.2819195007478292</v>
      </c>
      <c r="R22">
        <f t="shared" si="9"/>
        <v>-1.8848969861612177</v>
      </c>
    </row>
    <row r="23" spans="3:25" x14ac:dyDescent="0.2">
      <c r="C23" s="6"/>
      <c r="D23" s="6"/>
      <c r="E23" s="4"/>
      <c r="F23" s="4"/>
      <c r="G23" s="4"/>
      <c r="H23" s="4"/>
    </row>
    <row r="24" spans="3:25" x14ac:dyDescent="0.2">
      <c r="C24" s="6"/>
      <c r="D24" s="6"/>
      <c r="E24" s="4"/>
      <c r="F24" s="4"/>
      <c r="G24" s="4"/>
      <c r="H24" s="4"/>
      <c r="O24" t="s">
        <v>41</v>
      </c>
      <c r="P24">
        <f>-P22*Y16*I22</f>
        <v>2.1928837514885027</v>
      </c>
      <c r="Q24">
        <f>-Q22*Y17*I22</f>
        <v>-1.5099651027033369</v>
      </c>
      <c r="R24">
        <f>-R22*Y18*I22</f>
        <v>-0.5058752125221998</v>
      </c>
    </row>
    <row r="25" spans="3:25" x14ac:dyDescent="0.2">
      <c r="C25" s="6"/>
      <c r="D25" s="6"/>
      <c r="E25" s="4"/>
      <c r="F25" s="4"/>
      <c r="G25" s="4"/>
      <c r="H25" s="4"/>
      <c r="O25" t="s">
        <v>42</v>
      </c>
      <c r="P25">
        <f>P24/$I$22</f>
        <v>2.2877989751678571E-2</v>
      </c>
      <c r="Q25">
        <f t="shared" ref="Q25:R25" si="10">Q24/$I$22</f>
        <v>-1.5753213603589576E-2</v>
      </c>
      <c r="R25">
        <f t="shared" si="10"/>
        <v>-5.2777115612513519E-3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Mathias Schneider</dc:creator>
  <cp:lastModifiedBy>DIEGO CORDOBA URRUTIA</cp:lastModifiedBy>
  <dcterms:created xsi:type="dcterms:W3CDTF">2025-09-15T02:48:22Z</dcterms:created>
  <dcterms:modified xsi:type="dcterms:W3CDTF">2026-02-25T16:25:59Z</dcterms:modified>
</cp:coreProperties>
</file>