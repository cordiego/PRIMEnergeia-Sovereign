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cordoba/Desktop/"/>
    </mc:Choice>
  </mc:AlternateContent>
  <xr:revisionPtr revIDLastSave="0" documentId="8_{E3FACC6E-2A70-754C-AD7C-5B3D773B92FA}" xr6:coauthVersionLast="47" xr6:coauthVersionMax="47" xr10:uidLastSave="{00000000-0000-0000-0000-000000000000}"/>
  <bookViews>
    <workbookView xWindow="4440" yWindow="1660" windowWidth="27440" windowHeight="19540" xr2:uid="{D6E46779-15C9-4DC7-B4BE-FB9C3D47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R14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30" i="1"/>
  <c r="L31" i="1"/>
  <c r="M31" i="1"/>
  <c r="L32" i="1"/>
  <c r="M32" i="1" s="1"/>
  <c r="L33" i="1"/>
  <c r="M33" i="1"/>
  <c r="L34" i="1"/>
  <c r="M34" i="1" s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30" i="1"/>
  <c r="Q10" i="1" s="1"/>
  <c r="O12" i="1" s="1"/>
  <c r="L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</calcChain>
</file>

<file path=xl/sharedStrings.xml><?xml version="1.0" encoding="utf-8"?>
<sst xmlns="http://schemas.openxmlformats.org/spreadsheetml/2006/main" count="21" uniqueCount="20">
  <si>
    <t>Table 2.4</t>
  </si>
  <si>
    <t>Maturity</t>
  </si>
  <si>
    <t>Yield</t>
  </si>
  <si>
    <t>The rates in column D are quoted as nominal annual rates with semi-annual compounding</t>
  </si>
  <si>
    <t>Z</t>
  </si>
  <si>
    <t xml:space="preserve">Yield </t>
  </si>
  <si>
    <t xml:space="preserve">mat </t>
  </si>
  <si>
    <t>pmt freq</t>
  </si>
  <si>
    <t>time to 1 coupon</t>
  </si>
  <si>
    <t>FRB0</t>
  </si>
  <si>
    <t>time</t>
  </si>
  <si>
    <t>N*s/n</t>
  </si>
  <si>
    <t>N</t>
  </si>
  <si>
    <t>spread</t>
  </si>
  <si>
    <t>N*s/n*Z</t>
  </si>
  <si>
    <t>FRBs</t>
  </si>
  <si>
    <t>sAnn</t>
  </si>
  <si>
    <t>DFRB0</t>
  </si>
  <si>
    <t>Dz</t>
  </si>
  <si>
    <t>DsAnn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</si>
</sst>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0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E7E6-1601-45EA-9C9A-8551A7ABAD9D}">
  <dimension ref="C1:T51"/>
  <sheetViews>
    <sheetView tabSelected="1" topLeftCell="C2" workbookViewId="0">
      <selection activeCell="O15" sqref="O15"/>
    </sheetView>
  </sheetViews>
  <sheetFormatPr baseColWidth="10" defaultColWidth="8.83203125" defaultRowHeight="16" x14ac:dyDescent="0.2"/>
  <cols>
    <col min="3" max="3" width="76.83203125" bestFit="1" customWidth="1"/>
    <col min="14" max="14" width="15" bestFit="1" customWidth="1"/>
  </cols>
  <sheetData>
    <row r="1" spans="3:20" x14ac:dyDescent="0.2">
      <c r="C1" s="2" t="s">
        <v>3</v>
      </c>
      <c r="D1" s="2"/>
      <c r="E1" s="2"/>
      <c r="F1" s="2"/>
      <c r="G1" s="2"/>
      <c r="H1" s="2"/>
      <c r="I1" s="2"/>
      <c r="J1" s="2"/>
      <c r="K1" s="2"/>
    </row>
    <row r="3" spans="3:20" x14ac:dyDescent="0.2">
      <c r="C3" s="1" t="s">
        <v>0</v>
      </c>
      <c r="D3">
        <v>2</v>
      </c>
      <c r="F3">
        <v>4</v>
      </c>
    </row>
    <row r="4" spans="3:20" x14ac:dyDescent="0.2">
      <c r="N4" t="s">
        <v>12</v>
      </c>
      <c r="O4">
        <v>100</v>
      </c>
    </row>
    <row r="5" spans="3:20" x14ac:dyDescent="0.2">
      <c r="C5" t="s">
        <v>1</v>
      </c>
      <c r="D5" s="2" t="s">
        <v>2</v>
      </c>
      <c r="E5" t="s">
        <v>4</v>
      </c>
      <c r="F5" t="s">
        <v>5</v>
      </c>
      <c r="N5" t="s">
        <v>6</v>
      </c>
      <c r="O5">
        <v>5.5</v>
      </c>
    </row>
    <row r="6" spans="3:20" x14ac:dyDescent="0.2">
      <c r="C6">
        <v>0.25</v>
      </c>
      <c r="D6" s="3">
        <v>6.3299999999999995E-2</v>
      </c>
      <c r="E6">
        <f>(1/(1+D6/2)^(2*C6))</f>
        <v>0.98454100506076059</v>
      </c>
      <c r="F6">
        <f>4*((1+(D6/2))^(1/2)-1)</f>
        <v>6.2806911483733963E-2</v>
      </c>
      <c r="N6" t="s">
        <v>7</v>
      </c>
      <c r="O6">
        <v>4</v>
      </c>
    </row>
    <row r="7" spans="3:20" x14ac:dyDescent="0.2">
      <c r="C7">
        <v>0.5</v>
      </c>
      <c r="D7" s="3">
        <v>6.4899999999999999E-2</v>
      </c>
      <c r="E7">
        <f t="shared" ref="E7:E35" si="0">(1/(1+D7/2)^(2*C7))</f>
        <v>0.9685699065330039</v>
      </c>
      <c r="F7">
        <f t="shared" ref="F7:F35" si="1">4*((1+(D7/2))^(1/2)-1)</f>
        <v>6.4381871822577708E-2</v>
      </c>
      <c r="N7" t="s">
        <v>13</v>
      </c>
      <c r="O7">
        <v>35</v>
      </c>
    </row>
    <row r="8" spans="3:20" x14ac:dyDescent="0.2">
      <c r="C8">
        <v>0.75</v>
      </c>
      <c r="D8" s="3">
        <v>6.6199999999999995E-2</v>
      </c>
      <c r="E8">
        <f t="shared" si="0"/>
        <v>0.95232778992149036</v>
      </c>
      <c r="F8">
        <f t="shared" si="1"/>
        <v>6.5661077856834282E-2</v>
      </c>
      <c r="N8" t="s">
        <v>8</v>
      </c>
      <c r="O8">
        <v>0.25</v>
      </c>
    </row>
    <row r="9" spans="3:20" x14ac:dyDescent="0.2">
      <c r="C9">
        <v>1</v>
      </c>
      <c r="D9" s="3">
        <v>6.7100000000000007E-2</v>
      </c>
      <c r="E9">
        <f t="shared" si="0"/>
        <v>0.93613184112014403</v>
      </c>
      <c r="F9">
        <f t="shared" si="1"/>
        <v>6.6546446310431939E-2</v>
      </c>
    </row>
    <row r="10" spans="3:20" x14ac:dyDescent="0.2">
      <c r="C10">
        <v>1.25</v>
      </c>
      <c r="D10" s="3">
        <v>6.7900000000000002E-2</v>
      </c>
      <c r="E10">
        <f t="shared" si="0"/>
        <v>0.91992231976302186</v>
      </c>
      <c r="F10">
        <f t="shared" si="1"/>
        <v>6.7333278697480736E-2</v>
      </c>
      <c r="N10" t="s">
        <v>9</v>
      </c>
      <c r="O10">
        <v>100</v>
      </c>
      <c r="P10" t="s">
        <v>16</v>
      </c>
      <c r="Q10">
        <f>SUM(M30:M51)</f>
        <v>1.6035504021185683</v>
      </c>
    </row>
    <row r="11" spans="3:20" x14ac:dyDescent="0.2">
      <c r="C11">
        <v>1.5</v>
      </c>
      <c r="D11" s="3">
        <v>6.8400000000000002E-2</v>
      </c>
      <c r="E11">
        <f t="shared" si="0"/>
        <v>0.90403740436141711</v>
      </c>
      <c r="F11">
        <f t="shared" si="1"/>
        <v>6.7824971652541421E-2</v>
      </c>
    </row>
    <row r="12" spans="3:20" x14ac:dyDescent="0.2">
      <c r="C12">
        <v>1.75</v>
      </c>
      <c r="D12" s="3">
        <v>6.8699999999999997E-2</v>
      </c>
      <c r="E12">
        <f t="shared" si="0"/>
        <v>0.88851279094980307</v>
      </c>
      <c r="F12">
        <f t="shared" si="1"/>
        <v>6.8119958899933941E-2</v>
      </c>
      <c r="N12" t="s">
        <v>15</v>
      </c>
      <c r="O12">
        <f>100+Q10</f>
        <v>101.60355040211857</v>
      </c>
    </row>
    <row r="13" spans="3:20" x14ac:dyDescent="0.2">
      <c r="C13">
        <v>2</v>
      </c>
      <c r="D13" s="3">
        <v>6.88E-2</v>
      </c>
      <c r="E13">
        <f t="shared" si="0"/>
        <v>0.87346589530028107</v>
      </c>
      <c r="F13">
        <f t="shared" si="1"/>
        <v>6.8218283229158239E-2</v>
      </c>
    </row>
    <row r="14" spans="3:20" x14ac:dyDescent="0.2">
      <c r="C14">
        <v>2.25</v>
      </c>
      <c r="D14" s="3">
        <v>6.8900000000000003E-2</v>
      </c>
      <c r="E14">
        <f t="shared" si="0"/>
        <v>0.85863232080862129</v>
      </c>
      <c r="F14">
        <f t="shared" si="1"/>
        <v>6.8316605182050516E-2</v>
      </c>
      <c r="N14" t="s">
        <v>17</v>
      </c>
      <c r="O14">
        <f>O8*(1/(1+F6/4))</f>
        <v>0.24613525126519015</v>
      </c>
      <c r="Q14" t="s">
        <v>19</v>
      </c>
      <c r="R14">
        <f>SUMPRODUCT(L30:L51,N30:N51)/Q10</f>
        <v>30.535585903624781</v>
      </c>
      <c r="T14">
        <v>2.6718637699999999</v>
      </c>
    </row>
    <row r="15" spans="3:20" x14ac:dyDescent="0.2">
      <c r="C15">
        <v>2.5</v>
      </c>
      <c r="D15" s="3">
        <v>6.88E-2</v>
      </c>
      <c r="E15">
        <f t="shared" si="0"/>
        <v>0.8444179188904497</v>
      </c>
      <c r="F15">
        <f t="shared" si="1"/>
        <v>6.8218283229158239E-2</v>
      </c>
    </row>
    <row r="16" spans="3:20" x14ac:dyDescent="0.2">
      <c r="C16">
        <v>2.75</v>
      </c>
      <c r="D16" s="3">
        <v>6.8600000000000008E-2</v>
      </c>
      <c r="E16">
        <f t="shared" si="0"/>
        <v>0.83069981594032294</v>
      </c>
      <c r="F16">
        <f t="shared" si="1"/>
        <v>6.8021632194204429E-2</v>
      </c>
    </row>
    <row r="17" spans="3:14" x14ac:dyDescent="0.2">
      <c r="C17">
        <v>3</v>
      </c>
      <c r="D17" s="3">
        <v>6.83E-2</v>
      </c>
      <c r="E17">
        <f t="shared" si="0"/>
        <v>0.81752074565952326</v>
      </c>
      <c r="F17">
        <f t="shared" si="1"/>
        <v>6.7726637816263313E-2</v>
      </c>
    </row>
    <row r="18" spans="3:14" x14ac:dyDescent="0.2">
      <c r="C18">
        <v>3.25</v>
      </c>
      <c r="D18" s="3">
        <v>6.8000000000000005E-2</v>
      </c>
      <c r="E18">
        <f t="shared" si="0"/>
        <v>0.80466756904630443</v>
      </c>
      <c r="F18">
        <f t="shared" si="1"/>
        <v>6.7431622043571338E-2</v>
      </c>
    </row>
    <row r="19" spans="3:14" x14ac:dyDescent="0.2">
      <c r="C19">
        <v>3.5</v>
      </c>
      <c r="D19" s="3">
        <v>6.7599999999999993E-2</v>
      </c>
      <c r="E19">
        <f t="shared" si="0"/>
        <v>0.7923997049888436</v>
      </c>
      <c r="F19">
        <f t="shared" si="1"/>
        <v>6.7038234391213258E-2</v>
      </c>
    </row>
    <row r="20" spans="3:14" x14ac:dyDescent="0.2">
      <c r="C20">
        <v>3.75</v>
      </c>
      <c r="D20" s="3">
        <v>6.7199999999999996E-2</v>
      </c>
      <c r="E20">
        <f t="shared" si="0"/>
        <v>0.78047005566178551</v>
      </c>
      <c r="F20">
        <f t="shared" si="1"/>
        <v>6.6644808684427126E-2</v>
      </c>
    </row>
    <row r="21" spans="3:14" x14ac:dyDescent="0.2">
      <c r="C21">
        <v>4</v>
      </c>
      <c r="D21" s="3">
        <v>6.6699999999999995E-2</v>
      </c>
      <c r="E21">
        <f t="shared" si="0"/>
        <v>0.7691666570304081</v>
      </c>
      <c r="F21">
        <f t="shared" si="1"/>
        <v>6.6152973020075834E-2</v>
      </c>
    </row>
    <row r="22" spans="3:14" x14ac:dyDescent="0.2">
      <c r="C22">
        <v>4.25</v>
      </c>
      <c r="D22" s="3">
        <v>6.6199999999999995E-2</v>
      </c>
      <c r="E22">
        <f t="shared" si="0"/>
        <v>0.75821073124233285</v>
      </c>
      <c r="F22">
        <f t="shared" si="1"/>
        <v>6.5661077856834282E-2</v>
      </c>
    </row>
    <row r="23" spans="3:14" x14ac:dyDescent="0.2">
      <c r="C23">
        <v>4.5</v>
      </c>
      <c r="D23" s="3">
        <v>6.5700000000000008E-2</v>
      </c>
      <c r="E23">
        <f t="shared" si="0"/>
        <v>0.74759212051814927</v>
      </c>
      <c r="F23">
        <f t="shared" si="1"/>
        <v>6.5169123173106414E-2</v>
      </c>
    </row>
    <row r="24" spans="3:14" x14ac:dyDescent="0.2">
      <c r="C24">
        <v>4.75</v>
      </c>
      <c r="D24" s="3">
        <v>6.5099999999999991E-2</v>
      </c>
      <c r="E24">
        <f t="shared" si="0"/>
        <v>0.73764029902745021</v>
      </c>
      <c r="F24">
        <f t="shared" si="1"/>
        <v>6.4578698955157776E-2</v>
      </c>
    </row>
    <row r="25" spans="3:14" x14ac:dyDescent="0.2">
      <c r="C25">
        <v>5</v>
      </c>
      <c r="D25" s="3">
        <v>6.4500000000000002E-2</v>
      </c>
      <c r="E25">
        <f t="shared" si="0"/>
        <v>0.72803303225321325</v>
      </c>
      <c r="F25">
        <f t="shared" si="1"/>
        <v>6.3988188959214654E-2</v>
      </c>
    </row>
    <row r="26" spans="3:14" x14ac:dyDescent="0.2">
      <c r="C26">
        <v>5.25</v>
      </c>
      <c r="D26" s="3">
        <v>6.3899999999999998E-2</v>
      </c>
      <c r="E26">
        <f t="shared" si="0"/>
        <v>0.71876036157574896</v>
      </c>
      <c r="F26">
        <f t="shared" si="1"/>
        <v>6.339759314788207E-2</v>
      </c>
    </row>
    <row r="27" spans="3:14" x14ac:dyDescent="0.2">
      <c r="C27">
        <v>5.5</v>
      </c>
      <c r="D27" s="3">
        <v>6.3099999999999989E-2</v>
      </c>
      <c r="E27">
        <f t="shared" si="0"/>
        <v>0.71057002427341898</v>
      </c>
      <c r="F27">
        <f t="shared" si="1"/>
        <v>6.2609998510809284E-2</v>
      </c>
    </row>
    <row r="28" spans="3:14" x14ac:dyDescent="0.2">
      <c r="C28">
        <v>5.75</v>
      </c>
      <c r="D28" s="3">
        <v>6.2400000000000004E-2</v>
      </c>
      <c r="E28">
        <f t="shared" si="0"/>
        <v>0.70235487314072698</v>
      </c>
      <c r="F28">
        <f t="shared" si="1"/>
        <v>6.192072793155301E-2</v>
      </c>
    </row>
    <row r="29" spans="3:14" x14ac:dyDescent="0.2">
      <c r="C29">
        <v>6</v>
      </c>
      <c r="D29" s="3">
        <v>6.1500000000000006E-2</v>
      </c>
      <c r="E29">
        <f t="shared" si="0"/>
        <v>0.69528022637935538</v>
      </c>
      <c r="F29">
        <f t="shared" si="1"/>
        <v>6.1034350999754849E-2</v>
      </c>
      <c r="J29" t="s">
        <v>10</v>
      </c>
      <c r="K29" t="s">
        <v>11</v>
      </c>
      <c r="L29" t="s">
        <v>4</v>
      </c>
      <c r="M29" t="s">
        <v>14</v>
      </c>
      <c r="N29" t="s">
        <v>18</v>
      </c>
    </row>
    <row r="30" spans="3:14" x14ac:dyDescent="0.2">
      <c r="C30">
        <v>6.25</v>
      </c>
      <c r="D30" s="3">
        <v>6.0499999999999998E-2</v>
      </c>
      <c r="E30">
        <f t="shared" si="0"/>
        <v>0.68899680822082254</v>
      </c>
      <c r="F30">
        <f t="shared" si="1"/>
        <v>6.0049260784898806E-2</v>
      </c>
      <c r="J30">
        <v>0.25</v>
      </c>
      <c r="K30">
        <f>$O$4*($O$7/10000)/$O$6</f>
        <v>8.7500000000000008E-2</v>
      </c>
      <c r="L30">
        <f>E6</f>
        <v>0.98454100506076059</v>
      </c>
      <c r="M30">
        <f>L30*K30</f>
        <v>8.6147337942816565E-2</v>
      </c>
      <c r="N30" s="4">
        <f>J30*(1/(1+F6/4))</f>
        <v>0.24613525126519015</v>
      </c>
    </row>
    <row r="31" spans="3:14" x14ac:dyDescent="0.2">
      <c r="C31">
        <v>6.5</v>
      </c>
      <c r="D31" s="3">
        <v>5.9400000000000001E-2</v>
      </c>
      <c r="E31">
        <f t="shared" si="0"/>
        <v>0.68353496394975299</v>
      </c>
      <c r="F31">
        <f t="shared" si="1"/>
        <v>5.8965385415352678E-2</v>
      </c>
      <c r="J31">
        <v>0.5</v>
      </c>
      <c r="K31">
        <f t="shared" ref="K31:K51" si="2">$O$4*($O$7/10000)/$O$6</f>
        <v>8.7500000000000008E-2</v>
      </c>
      <c r="L31">
        <f>E7</f>
        <v>0.9685699065330039</v>
      </c>
      <c r="M31">
        <f t="shared" ref="M31:M51" si="3">L31*K31</f>
        <v>8.4749866821637848E-2</v>
      </c>
      <c r="N31" s="4">
        <f t="shared" ref="N31:N51" si="4">J31*(1/(1+F7/4))</f>
        <v>0.49207974621320372</v>
      </c>
    </row>
    <row r="32" spans="3:14" x14ac:dyDescent="0.2">
      <c r="C32">
        <v>6.75</v>
      </c>
      <c r="D32" s="3">
        <v>5.8099999999999999E-2</v>
      </c>
      <c r="E32">
        <f t="shared" si="0"/>
        <v>0.67937187003567068</v>
      </c>
      <c r="F32">
        <f t="shared" si="1"/>
        <v>5.768406852973218E-2</v>
      </c>
      <c r="J32">
        <v>0.75</v>
      </c>
      <c r="K32">
        <f t="shared" si="2"/>
        <v>8.7500000000000008E-2</v>
      </c>
      <c r="L32">
        <f>E8</f>
        <v>0.95232778992149036</v>
      </c>
      <c r="M32">
        <f t="shared" si="3"/>
        <v>8.332868161813041E-2</v>
      </c>
      <c r="N32" s="4">
        <f t="shared" si="4"/>
        <v>0.73788737982591868</v>
      </c>
    </row>
    <row r="33" spans="3:14" x14ac:dyDescent="0.2">
      <c r="C33">
        <v>7</v>
      </c>
      <c r="D33" s="3">
        <v>5.67E-2</v>
      </c>
      <c r="E33">
        <f t="shared" si="0"/>
        <v>0.67612448925800694</v>
      </c>
      <c r="F33">
        <f t="shared" si="1"/>
        <v>5.6303736161778417E-2</v>
      </c>
      <c r="J33">
        <v>1</v>
      </c>
      <c r="K33">
        <f t="shared" si="2"/>
        <v>8.7500000000000008E-2</v>
      </c>
      <c r="L33">
        <f>E9</f>
        <v>0.93613184112014403</v>
      </c>
      <c r="M33">
        <f t="shared" si="3"/>
        <v>8.1911536098012605E-2</v>
      </c>
      <c r="N33" s="4">
        <f t="shared" si="4"/>
        <v>0.9836356359901387</v>
      </c>
    </row>
    <row r="34" spans="3:14" x14ac:dyDescent="0.2">
      <c r="C34">
        <v>7.25</v>
      </c>
      <c r="D34" s="3">
        <v>5.5E-2</v>
      </c>
      <c r="E34">
        <f t="shared" si="0"/>
        <v>0.67478195013811648</v>
      </c>
      <c r="F34">
        <f t="shared" si="1"/>
        <v>5.4626986542658962E-2</v>
      </c>
      <c r="J34">
        <v>1.25</v>
      </c>
      <c r="K34">
        <f t="shared" si="2"/>
        <v>8.7500000000000008E-2</v>
      </c>
      <c r="L34">
        <f>E10</f>
        <v>0.91992231976302186</v>
      </c>
      <c r="M34">
        <f t="shared" si="3"/>
        <v>8.0493202979264419E-2</v>
      </c>
      <c r="N34" s="4">
        <f t="shared" si="4"/>
        <v>1.2293066875506193</v>
      </c>
    </row>
    <row r="35" spans="3:14" x14ac:dyDescent="0.2">
      <c r="C35">
        <v>7.5</v>
      </c>
      <c r="D35" s="3">
        <v>5.3100000000000001E-2</v>
      </c>
      <c r="E35">
        <f t="shared" si="0"/>
        <v>0.67499163387238759</v>
      </c>
      <c r="F35">
        <f t="shared" si="1"/>
        <v>5.2752151316435736E-2</v>
      </c>
      <c r="J35">
        <v>1.5</v>
      </c>
      <c r="K35">
        <f t="shared" si="2"/>
        <v>8.7500000000000008E-2</v>
      </c>
      <c r="L35">
        <f>E11</f>
        <v>0.90403740436141711</v>
      </c>
      <c r="M35">
        <f t="shared" si="3"/>
        <v>7.9103272881623998E-2</v>
      </c>
      <c r="N35" s="4">
        <f t="shared" si="4"/>
        <v>1.4749897160797749</v>
      </c>
    </row>
    <row r="36" spans="3:14" x14ac:dyDescent="0.2">
      <c r="J36">
        <v>1.75</v>
      </c>
      <c r="K36">
        <f t="shared" si="2"/>
        <v>8.7500000000000008E-2</v>
      </c>
      <c r="L36">
        <f>E12</f>
        <v>0.88851279094980307</v>
      </c>
      <c r="M36">
        <f t="shared" si="3"/>
        <v>7.7744869208107775E-2</v>
      </c>
      <c r="N36" s="4">
        <f t="shared" si="4"/>
        <v>1.7206965553426994</v>
      </c>
    </row>
    <row r="37" spans="3:14" x14ac:dyDescent="0.2">
      <c r="J37">
        <v>2</v>
      </c>
      <c r="K37">
        <f t="shared" si="2"/>
        <v>8.7500000000000008E-2</v>
      </c>
      <c r="L37">
        <f>E13</f>
        <v>0.87346589530028107</v>
      </c>
      <c r="M37">
        <f t="shared" si="3"/>
        <v>7.6428265838774601E-2</v>
      </c>
      <c r="N37" s="4">
        <f t="shared" si="4"/>
        <v>1.9664628205864068</v>
      </c>
    </row>
    <row r="38" spans="3:14" x14ac:dyDescent="0.2">
      <c r="J38">
        <v>2.25</v>
      </c>
      <c r="K38">
        <f t="shared" si="2"/>
        <v>8.7500000000000008E-2</v>
      </c>
      <c r="L38">
        <f>E14</f>
        <v>0.85863232080862129</v>
      </c>
      <c r="M38">
        <f t="shared" si="3"/>
        <v>7.5130328070754371E-2</v>
      </c>
      <c r="N38" s="4">
        <f t="shared" si="4"/>
        <v>2.2122172076126474</v>
      </c>
    </row>
    <row r="39" spans="3:14" x14ac:dyDescent="0.2">
      <c r="J39">
        <v>2.5</v>
      </c>
      <c r="K39">
        <f t="shared" si="2"/>
        <v>8.7500000000000008E-2</v>
      </c>
      <c r="L39">
        <f>E15</f>
        <v>0.8444179188904497</v>
      </c>
      <c r="M39">
        <f t="shared" si="3"/>
        <v>7.3886567902914355E-2</v>
      </c>
      <c r="N39" s="4">
        <f t="shared" si="4"/>
        <v>2.4580785257330087</v>
      </c>
    </row>
    <row r="40" spans="3:14" x14ac:dyDescent="0.2">
      <c r="J40">
        <v>2.75</v>
      </c>
      <c r="K40">
        <f t="shared" si="2"/>
        <v>8.7500000000000008E-2</v>
      </c>
      <c r="L40">
        <f>E16</f>
        <v>0.83069981594032294</v>
      </c>
      <c r="M40">
        <f t="shared" si="3"/>
        <v>7.2686233894778268E-2</v>
      </c>
      <c r="N40" s="4">
        <f t="shared" si="4"/>
        <v>2.7040170860809396</v>
      </c>
    </row>
    <row r="41" spans="3:14" x14ac:dyDescent="0.2">
      <c r="J41">
        <v>3</v>
      </c>
      <c r="K41">
        <f t="shared" si="2"/>
        <v>8.7500000000000008E-2</v>
      </c>
      <c r="L41">
        <f>E17</f>
        <v>0.81752074565952326</v>
      </c>
      <c r="M41">
        <f t="shared" si="3"/>
        <v>7.1533065245208291E-2</v>
      </c>
      <c r="N41" s="4">
        <f t="shared" si="4"/>
        <v>2.9500507454065632</v>
      </c>
    </row>
    <row r="42" spans="3:14" x14ac:dyDescent="0.2">
      <c r="J42">
        <v>3.25</v>
      </c>
      <c r="K42">
        <f t="shared" si="2"/>
        <v>8.7500000000000008E-2</v>
      </c>
      <c r="L42">
        <f>E18</f>
        <v>0.80466756904630443</v>
      </c>
      <c r="M42">
        <f t="shared" si="3"/>
        <v>7.0408412291551647E-2</v>
      </c>
      <c r="N42" s="4">
        <f t="shared" si="4"/>
        <v>3.1961201091976812</v>
      </c>
    </row>
    <row r="43" spans="3:14" x14ac:dyDescent="0.2">
      <c r="J43">
        <v>3.5</v>
      </c>
      <c r="K43">
        <f t="shared" si="2"/>
        <v>8.7500000000000008E-2</v>
      </c>
      <c r="L43">
        <f>E19</f>
        <v>0.7923997049888436</v>
      </c>
      <c r="M43">
        <f t="shared" si="3"/>
        <v>6.9334974186523818E-2</v>
      </c>
      <c r="N43" s="4">
        <f t="shared" si="4"/>
        <v>3.4423084301531364</v>
      </c>
    </row>
    <row r="44" spans="3:14" x14ac:dyDescent="0.2">
      <c r="J44">
        <v>3.75</v>
      </c>
      <c r="K44">
        <f t="shared" si="2"/>
        <v>8.7500000000000008E-2</v>
      </c>
      <c r="L44">
        <f>E20</f>
        <v>0.78047005566178551</v>
      </c>
      <c r="M44">
        <f t="shared" si="3"/>
        <v>6.8291129870406239E-2</v>
      </c>
      <c r="N44" s="4">
        <f t="shared" si="4"/>
        <v>3.6885444157717204</v>
      </c>
    </row>
    <row r="45" spans="3:14" x14ac:dyDescent="0.2">
      <c r="J45">
        <v>4</v>
      </c>
      <c r="K45">
        <f t="shared" si="2"/>
        <v>8.7500000000000008E-2</v>
      </c>
      <c r="L45">
        <f>E21</f>
        <v>0.7691666570304081</v>
      </c>
      <c r="M45">
        <f t="shared" si="3"/>
        <v>6.7302082490160717E-2</v>
      </c>
      <c r="N45" s="4">
        <f t="shared" si="4"/>
        <v>3.9349232815794024</v>
      </c>
    </row>
    <row r="46" spans="3:14" x14ac:dyDescent="0.2">
      <c r="J46">
        <v>4.25</v>
      </c>
      <c r="K46">
        <f t="shared" si="2"/>
        <v>8.7500000000000008E-2</v>
      </c>
      <c r="L46">
        <f>E22</f>
        <v>0.75821073124233285</v>
      </c>
      <c r="M46">
        <f t="shared" si="3"/>
        <v>6.6343438983704137E-2</v>
      </c>
      <c r="N46" s="4">
        <f t="shared" si="4"/>
        <v>4.1813618190135395</v>
      </c>
    </row>
    <row r="47" spans="3:14" x14ac:dyDescent="0.2">
      <c r="J47">
        <v>4.5</v>
      </c>
      <c r="K47">
        <f t="shared" si="2"/>
        <v>8.7500000000000008E-2</v>
      </c>
      <c r="L47">
        <f>E23</f>
        <v>0.74759212051814927</v>
      </c>
      <c r="M47">
        <f t="shared" si="3"/>
        <v>6.541431054533807E-2</v>
      </c>
      <c r="N47" s="4">
        <f t="shared" si="4"/>
        <v>4.4278600605797012</v>
      </c>
    </row>
    <row r="48" spans="3:14" x14ac:dyDescent="0.2">
      <c r="J48">
        <v>4.75</v>
      </c>
      <c r="K48">
        <f t="shared" si="2"/>
        <v>8.7500000000000008E-2</v>
      </c>
      <c r="L48">
        <f>E24</f>
        <v>0.73764029902745021</v>
      </c>
      <c r="M48">
        <f t="shared" si="3"/>
        <v>6.4543526164901902E-2</v>
      </c>
      <c r="N48" s="4">
        <f t="shared" si="4"/>
        <v>4.6745312139937525</v>
      </c>
    </row>
    <row r="49" spans="10:14" x14ac:dyDescent="0.2">
      <c r="J49">
        <v>5</v>
      </c>
      <c r="K49">
        <f t="shared" si="2"/>
        <v>8.7500000000000008E-2</v>
      </c>
      <c r="L49">
        <f>E25</f>
        <v>0.72803303225321325</v>
      </c>
      <c r="M49">
        <f t="shared" si="3"/>
        <v>6.3702890322156161E-2</v>
      </c>
      <c r="N49" s="4">
        <f t="shared" si="4"/>
        <v>4.9212741450220578</v>
      </c>
    </row>
    <row r="50" spans="10:14" x14ac:dyDescent="0.2">
      <c r="J50">
        <v>5.25</v>
      </c>
      <c r="K50">
        <f t="shared" si="2"/>
        <v>8.7500000000000008E-2</v>
      </c>
      <c r="L50">
        <f>E26</f>
        <v>0.71876036157574896</v>
      </c>
      <c r="M50">
        <f t="shared" si="3"/>
        <v>6.2891531637878043E-2</v>
      </c>
      <c r="N50" s="4">
        <f t="shared" si="4"/>
        <v>5.168088900631421</v>
      </c>
    </row>
    <row r="51" spans="10:14" x14ac:dyDescent="0.2">
      <c r="J51">
        <v>5.5</v>
      </c>
      <c r="K51">
        <f t="shared" si="2"/>
        <v>8.7500000000000008E-2</v>
      </c>
      <c r="L51">
        <f>E27</f>
        <v>0.71057002427341898</v>
      </c>
      <c r="M51">
        <f t="shared" si="3"/>
        <v>6.2174877123924166E-2</v>
      </c>
      <c r="N51" s="4">
        <f t="shared" si="4"/>
        <v>5.4152379893871974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Schneider</dc:creator>
  <cp:lastModifiedBy>DIEGO CORDOBA URRUTIA</cp:lastModifiedBy>
  <dcterms:created xsi:type="dcterms:W3CDTF">2026-02-28T21:15:15Z</dcterms:created>
  <dcterms:modified xsi:type="dcterms:W3CDTF">2026-03-04T16:34:28Z</dcterms:modified>
</cp:coreProperties>
</file>