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cordoba/Desktop/"/>
    </mc:Choice>
  </mc:AlternateContent>
  <xr:revisionPtr revIDLastSave="0" documentId="13_ncr:1_{2717E69B-53D3-0F48-A563-29B2CEA20CC9}" xr6:coauthVersionLast="47" xr6:coauthVersionMax="47" xr10:uidLastSave="{00000000-0000-0000-0000-000000000000}"/>
  <bookViews>
    <workbookView xWindow="4440" yWindow="880" windowWidth="29680" windowHeight="15960" activeTab="2" xr2:uid="{E73A65B7-4917-4E91-830D-D137A1AE8ED4}"/>
  </bookViews>
  <sheets>
    <sheet name="Duration" sheetId="1" r:id="rId1"/>
    <sheet name="w equiv rates" sheetId="3" r:id="rId2"/>
    <sheet name="CO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G17" i="4" s="1"/>
  <c r="E17" i="4"/>
  <c r="F16" i="4"/>
  <c r="G16" i="4" s="1"/>
  <c r="E16" i="4"/>
  <c r="F15" i="4"/>
  <c r="G15" i="4" s="1"/>
  <c r="E15" i="4"/>
  <c r="F14" i="4"/>
  <c r="G14" i="4" s="1"/>
  <c r="E14" i="4"/>
  <c r="F13" i="4"/>
  <c r="E13" i="4"/>
  <c r="G13" i="4" s="1"/>
  <c r="F12" i="4"/>
  <c r="G12" i="4" s="1"/>
  <c r="E12" i="4"/>
  <c r="N17" i="3"/>
  <c r="N16" i="3"/>
  <c r="N15" i="3"/>
  <c r="N14" i="3"/>
  <c r="N13" i="3"/>
  <c r="P30" i="3"/>
  <c r="P29" i="3"/>
  <c r="P28" i="3"/>
  <c r="P27" i="3"/>
  <c r="P26" i="3"/>
  <c r="P25" i="3"/>
  <c r="P17" i="3"/>
  <c r="P16" i="3"/>
  <c r="P15" i="3"/>
  <c r="P14" i="3"/>
  <c r="P13" i="3"/>
  <c r="P12" i="3"/>
  <c r="D26" i="3"/>
  <c r="D27" i="3"/>
  <c r="D28" i="3"/>
  <c r="E28" i="3" s="1"/>
  <c r="G28" i="3" s="1"/>
  <c r="D29" i="3"/>
  <c r="E29" i="3" s="1"/>
  <c r="D30" i="3"/>
  <c r="E30" i="3" s="1"/>
  <c r="D25" i="3"/>
  <c r="E25" i="3" s="1"/>
  <c r="F30" i="3"/>
  <c r="F29" i="3"/>
  <c r="F28" i="3"/>
  <c r="F27" i="3"/>
  <c r="E27" i="3"/>
  <c r="F26" i="3"/>
  <c r="E26" i="3"/>
  <c r="F25" i="3"/>
  <c r="F17" i="3"/>
  <c r="G17" i="3" s="1"/>
  <c r="E17" i="3"/>
  <c r="F16" i="3"/>
  <c r="E16" i="3"/>
  <c r="G15" i="3"/>
  <c r="F15" i="3"/>
  <c r="E15" i="3"/>
  <c r="F14" i="3"/>
  <c r="G14" i="3" s="1"/>
  <c r="E14" i="3"/>
  <c r="F13" i="3"/>
  <c r="E13" i="3"/>
  <c r="F12" i="3"/>
  <c r="E12" i="3"/>
  <c r="F12" i="1"/>
  <c r="I25" i="1"/>
  <c r="I26" i="1"/>
  <c r="I27" i="1"/>
  <c r="I28" i="1"/>
  <c r="I29" i="1"/>
  <c r="I30" i="1"/>
  <c r="I31" i="1" s="1"/>
  <c r="E12" i="1"/>
  <c r="H26" i="1"/>
  <c r="H27" i="1"/>
  <c r="H28" i="1"/>
  <c r="H29" i="1"/>
  <c r="H30" i="1"/>
  <c r="H25" i="1"/>
  <c r="E26" i="1"/>
  <c r="E27" i="1"/>
  <c r="E28" i="1"/>
  <c r="G28" i="1" s="1"/>
  <c r="E29" i="1"/>
  <c r="G29" i="1" s="1"/>
  <c r="E30" i="1"/>
  <c r="G30" i="1" s="1"/>
  <c r="E25" i="1"/>
  <c r="G26" i="1"/>
  <c r="G27" i="1"/>
  <c r="G25" i="1"/>
  <c r="H13" i="1"/>
  <c r="I13" i="1" s="1"/>
  <c r="H14" i="1"/>
  <c r="I14" i="1" s="1"/>
  <c r="G18" i="1"/>
  <c r="H15" i="1" s="1"/>
  <c r="I15" i="1" s="1"/>
  <c r="G13" i="1"/>
  <c r="G14" i="1"/>
  <c r="G15" i="1"/>
  <c r="G16" i="1"/>
  <c r="G17" i="1"/>
  <c r="G12" i="1"/>
  <c r="E13" i="1"/>
  <c r="E14" i="1"/>
  <c r="E15" i="1"/>
  <c r="E16" i="1"/>
  <c r="E17" i="1"/>
  <c r="F30" i="1"/>
  <c r="F26" i="1"/>
  <c r="F27" i="1"/>
  <c r="F28" i="1"/>
  <c r="F29" i="1"/>
  <c r="F25" i="1"/>
  <c r="F17" i="1"/>
  <c r="F13" i="1"/>
  <c r="F14" i="1"/>
  <c r="F15" i="1"/>
  <c r="F16" i="1"/>
  <c r="G18" i="4" l="1"/>
  <c r="H12" i="4" s="1"/>
  <c r="I12" i="4" s="1"/>
  <c r="H14" i="4"/>
  <c r="I14" i="4" s="1"/>
  <c r="H15" i="4"/>
  <c r="I15" i="4" s="1"/>
  <c r="H13" i="4"/>
  <c r="I13" i="4" s="1"/>
  <c r="H16" i="4"/>
  <c r="I16" i="4" s="1"/>
  <c r="H17" i="4"/>
  <c r="I17" i="4" s="1"/>
  <c r="G16" i="3"/>
  <c r="G13" i="3"/>
  <c r="G12" i="3"/>
  <c r="G30" i="3"/>
  <c r="G31" i="3" s="1"/>
  <c r="H29" i="3" s="1"/>
  <c r="I29" i="3" s="1"/>
  <c r="G27" i="3"/>
  <c r="G29" i="3"/>
  <c r="G26" i="3"/>
  <c r="G25" i="3"/>
  <c r="G18" i="3"/>
  <c r="H17" i="3" s="1"/>
  <c r="I17" i="3" s="1"/>
  <c r="H12" i="1"/>
  <c r="I12" i="1" s="1"/>
  <c r="H16" i="1"/>
  <c r="I16" i="1" s="1"/>
  <c r="H17" i="1"/>
  <c r="I17" i="1" s="1"/>
  <c r="G31" i="1"/>
  <c r="I18" i="4" l="1"/>
  <c r="H14" i="3"/>
  <c r="I14" i="3" s="1"/>
  <c r="H13" i="3"/>
  <c r="I13" i="3" s="1"/>
  <c r="H12" i="3"/>
  <c r="I12" i="3" s="1"/>
  <c r="H26" i="3"/>
  <c r="I26" i="3" s="1"/>
  <c r="H25" i="3"/>
  <c r="I25" i="3" s="1"/>
  <c r="H28" i="3"/>
  <c r="I28" i="3" s="1"/>
  <c r="H30" i="3"/>
  <c r="I30" i="3" s="1"/>
  <c r="H27" i="3"/>
  <c r="I27" i="3" s="1"/>
  <c r="H15" i="3"/>
  <c r="I15" i="3" s="1"/>
  <c r="H16" i="3"/>
  <c r="I16" i="3" s="1"/>
  <c r="I18" i="1"/>
  <c r="I18" i="3" l="1"/>
  <c r="I31" i="3"/>
  <c r="N30" i="3"/>
  <c r="O17" i="3"/>
  <c r="Q17" i="3" s="1"/>
  <c r="R17" i="3" s="1"/>
  <c r="S17" i="3" s="1"/>
  <c r="N27" i="3"/>
  <c r="O27" i="3" s="1"/>
  <c r="Q27" i="3" s="1"/>
  <c r="R27" i="3" s="1"/>
  <c r="O13" i="3"/>
  <c r="Q13" i="3" s="1"/>
  <c r="R13" i="3" s="1"/>
  <c r="S13" i="3" s="1"/>
  <c r="N28" i="3"/>
  <c r="O15" i="3"/>
  <c r="Q15" i="3" s="1"/>
  <c r="R15" i="3" s="1"/>
  <c r="S15" i="3" s="1"/>
  <c r="O16" i="3"/>
  <c r="Q16" i="3" s="1"/>
  <c r="R16" i="3" s="1"/>
  <c r="S16" i="3" s="1"/>
  <c r="N29" i="3"/>
  <c r="O29" i="3"/>
  <c r="Q29" i="3" s="1"/>
  <c r="R29" i="3" s="1"/>
  <c r="N26" i="3"/>
  <c r="O26" i="3" s="1"/>
  <c r="Q26" i="3" s="1"/>
  <c r="R26" i="3" s="1"/>
  <c r="S26" i="3" s="1"/>
  <c r="O14" i="3"/>
  <c r="Q14" i="3" s="1"/>
  <c r="R14" i="3" s="1"/>
  <c r="S14" i="3" s="1"/>
  <c r="N12" i="3"/>
  <c r="N25" i="3" l="1"/>
  <c r="V11" i="3"/>
  <c r="S29" i="3"/>
  <c r="S27" i="3"/>
  <c r="V22" i="3"/>
  <c r="O25" i="3"/>
  <c r="Q25" i="3" s="1"/>
  <c r="O28" i="3"/>
  <c r="Q28" i="3" s="1"/>
  <c r="R28" i="3" s="1"/>
  <c r="S28" i="3" s="1"/>
  <c r="O12" i="3"/>
  <c r="Q12" i="3" s="1"/>
  <c r="O30" i="3"/>
  <c r="Q30" i="3" s="1"/>
  <c r="R30" i="3" s="1"/>
  <c r="S30" i="3" s="1"/>
  <c r="R25" i="3" l="1"/>
  <c r="S25" i="3" s="1"/>
  <c r="S31" i="3" s="1"/>
  <c r="Q31" i="3"/>
  <c r="R12" i="3"/>
  <c r="S12" i="3" s="1"/>
  <c r="S18" i="3" s="1"/>
  <c r="Q18" i="3"/>
  <c r="U18" i="3" l="1"/>
  <c r="U31" i="3"/>
</calcChain>
</file>

<file path=xl/sharedStrings.xml><?xml version="1.0" encoding="utf-8"?>
<sst xmlns="http://schemas.openxmlformats.org/spreadsheetml/2006/main" count="76" uniqueCount="17">
  <si>
    <t>Ti</t>
  </si>
  <si>
    <t>r(0,Ti)</t>
  </si>
  <si>
    <t>cont. compounding</t>
  </si>
  <si>
    <t>payment frequency</t>
  </si>
  <si>
    <t>face value (N)</t>
  </si>
  <si>
    <t>coupon rate ©</t>
  </si>
  <si>
    <t>t</t>
  </si>
  <si>
    <t>n</t>
  </si>
  <si>
    <t>2x compounding per year</t>
  </si>
  <si>
    <t>Z(t, T)</t>
  </si>
  <si>
    <t>Cash Flows</t>
  </si>
  <si>
    <t>w</t>
  </si>
  <si>
    <t>w*Dz</t>
  </si>
  <si>
    <t>PV</t>
  </si>
  <si>
    <t>dr</t>
  </si>
  <si>
    <t>dP</t>
  </si>
  <si>
    <t>COG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</si>
</sst>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"/>
    <numFmt numFmtId="167" formatCode="0.0000%"/>
  </numFmts>
  <fonts count="1" x14ac:knownFonts="1"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F9F6-F634-4C9D-B80E-1C3459867871}">
  <dimension ref="B2:M31"/>
  <sheetViews>
    <sheetView workbookViewId="0">
      <selection activeCell="C2" sqref="C2:D6"/>
    </sheetView>
  </sheetViews>
  <sheetFormatPr baseColWidth="10" defaultColWidth="8.83203125" defaultRowHeight="16" x14ac:dyDescent="0.2"/>
  <cols>
    <col min="3" max="3" width="17.33203125" bestFit="1" customWidth="1"/>
    <col min="6" max="6" width="10.6640625" bestFit="1" customWidth="1"/>
    <col min="7" max="7" width="10.6640625" customWidth="1"/>
    <col min="8" max="8" width="13.33203125" bestFit="1" customWidth="1"/>
    <col min="13" max="13" width="11" bestFit="1" customWidth="1"/>
  </cols>
  <sheetData>
    <row r="2" spans="2:9" x14ac:dyDescent="0.2">
      <c r="C2" t="s">
        <v>5</v>
      </c>
      <c r="D2" s="2">
        <v>0.05</v>
      </c>
    </row>
    <row r="3" spans="2:9" x14ac:dyDescent="0.2">
      <c r="C3" t="s">
        <v>3</v>
      </c>
      <c r="D3">
        <v>2</v>
      </c>
    </row>
    <row r="4" spans="2:9" x14ac:dyDescent="0.2">
      <c r="C4" t="s">
        <v>4</v>
      </c>
      <c r="D4">
        <v>100</v>
      </c>
    </row>
    <row r="6" spans="2:9" x14ac:dyDescent="0.2">
      <c r="C6" t="s">
        <v>6</v>
      </c>
      <c r="D6">
        <v>0</v>
      </c>
    </row>
    <row r="8" spans="2:9" x14ac:dyDescent="0.2">
      <c r="B8" s="5" t="s">
        <v>2</v>
      </c>
      <c r="C8" s="5"/>
    </row>
    <row r="11" spans="2:9" x14ac:dyDescent="0.2">
      <c r="C11" t="s">
        <v>0</v>
      </c>
      <c r="D11" t="s">
        <v>1</v>
      </c>
      <c r="E11" t="s">
        <v>9</v>
      </c>
      <c r="F11" t="s">
        <v>10</v>
      </c>
      <c r="G11" t="s">
        <v>13</v>
      </c>
      <c r="H11" t="s">
        <v>11</v>
      </c>
      <c r="I11" t="s">
        <v>12</v>
      </c>
    </row>
    <row r="12" spans="2:9" x14ac:dyDescent="0.2">
      <c r="C12">
        <v>0.5</v>
      </c>
      <c r="D12" s="1">
        <v>4.5600000000000002E-2</v>
      </c>
      <c r="E12">
        <f>EXP(-D12*C12)</f>
        <v>0.97745795581658446</v>
      </c>
      <c r="F12">
        <f>$D$4*$D$2/$D$3</f>
        <v>2.5</v>
      </c>
      <c r="G12">
        <f>F12*E12</f>
        <v>2.4436448895414613</v>
      </c>
      <c r="H12">
        <f>G12/$G$18</f>
        <v>2.4767192847001334E-2</v>
      </c>
      <c r="I12" s="4">
        <f>C12*H12</f>
        <v>1.2383596423500667E-2</v>
      </c>
    </row>
    <row r="13" spans="2:9" x14ac:dyDescent="0.2">
      <c r="C13">
        <v>1</v>
      </c>
      <c r="D13" s="1">
        <v>4.7300000000000002E-2</v>
      </c>
      <c r="E13">
        <f t="shared" ref="E13:E17" si="0">EXP(-D13*C13)</f>
        <v>0.95380121430073384</v>
      </c>
      <c r="F13">
        <f t="shared" ref="F13:F16" si="1">$D$4*$D$2/$D$3</f>
        <v>2.5</v>
      </c>
      <c r="G13">
        <f t="shared" ref="G13:G17" si="2">F13*E13</f>
        <v>2.3845030357518344</v>
      </c>
      <c r="H13">
        <f t="shared" ref="H13:H17" si="3">G13/$G$18</f>
        <v>2.416776954110041E-2</v>
      </c>
      <c r="I13" s="4">
        <f t="shared" ref="I13:I17" si="4">C13*H13</f>
        <v>2.416776954110041E-2</v>
      </c>
    </row>
    <row r="14" spans="2:9" x14ac:dyDescent="0.2">
      <c r="C14">
        <v>1.5</v>
      </c>
      <c r="D14" s="1">
        <v>4.8899999999999999E-2</v>
      </c>
      <c r="E14">
        <f t="shared" si="0"/>
        <v>0.92927552666669233</v>
      </c>
      <c r="F14">
        <f t="shared" si="1"/>
        <v>2.5</v>
      </c>
      <c r="G14">
        <f t="shared" si="2"/>
        <v>2.3231888166667307</v>
      </c>
      <c r="H14">
        <f t="shared" si="3"/>
        <v>2.354632855561049E-2</v>
      </c>
      <c r="I14" s="4">
        <f t="shared" si="4"/>
        <v>3.5319492833415733E-2</v>
      </c>
    </row>
    <row r="15" spans="2:9" x14ac:dyDescent="0.2">
      <c r="C15">
        <v>2</v>
      </c>
      <c r="D15" s="1">
        <v>5.0099999999999999E-2</v>
      </c>
      <c r="E15">
        <f t="shared" si="0"/>
        <v>0.9046564686478944</v>
      </c>
      <c r="F15">
        <f t="shared" si="1"/>
        <v>2.5</v>
      </c>
      <c r="G15">
        <f t="shared" si="2"/>
        <v>2.2616411716197362</v>
      </c>
      <c r="H15">
        <f t="shared" si="3"/>
        <v>2.2922521716620993E-2</v>
      </c>
      <c r="I15" s="4">
        <f t="shared" si="4"/>
        <v>4.5845043433241986E-2</v>
      </c>
    </row>
    <row r="16" spans="2:9" x14ac:dyDescent="0.2">
      <c r="C16">
        <v>2.5</v>
      </c>
      <c r="D16" s="1">
        <v>5.3699999999999998E-2</v>
      </c>
      <c r="E16">
        <f t="shared" si="0"/>
        <v>0.87437144441584536</v>
      </c>
      <c r="F16">
        <f t="shared" si="1"/>
        <v>2.5</v>
      </c>
      <c r="G16">
        <f t="shared" si="2"/>
        <v>2.1859286110396132</v>
      </c>
      <c r="H16">
        <f t="shared" si="3"/>
        <v>2.2155148520599844E-2</v>
      </c>
      <c r="I16" s="4">
        <f t="shared" si="4"/>
        <v>5.5387871301499608E-2</v>
      </c>
    </row>
    <row r="17" spans="2:13" x14ac:dyDescent="0.2">
      <c r="C17">
        <v>3</v>
      </c>
      <c r="D17" s="1">
        <v>5.4399999999999997E-2</v>
      </c>
      <c r="E17">
        <f t="shared" si="0"/>
        <v>0.84942128716759835</v>
      </c>
      <c r="F17">
        <f>$D$4*$D$2/$D$3+D4</f>
        <v>102.5</v>
      </c>
      <c r="G17">
        <f t="shared" si="2"/>
        <v>87.065681934678835</v>
      </c>
      <c r="H17">
        <f t="shared" si="3"/>
        <v>0.88244103881906688</v>
      </c>
      <c r="I17" s="4">
        <f t="shared" si="4"/>
        <v>2.6473231164572004</v>
      </c>
    </row>
    <row r="18" spans="2:13" x14ac:dyDescent="0.2">
      <c r="F18" s="3"/>
      <c r="G18" s="3">
        <f>SUM(G12:G17)</f>
        <v>98.664588459298216</v>
      </c>
      <c r="I18" s="4">
        <f>SUM(I12:I17)</f>
        <v>2.8204268899899589</v>
      </c>
      <c r="J18" s="3"/>
      <c r="M18" s="7"/>
    </row>
    <row r="21" spans="2:13" x14ac:dyDescent="0.2">
      <c r="B21" s="6" t="s">
        <v>8</v>
      </c>
      <c r="C21" s="6"/>
    </row>
    <row r="22" spans="2:13" x14ac:dyDescent="0.2">
      <c r="C22" t="s">
        <v>7</v>
      </c>
      <c r="D22">
        <v>2</v>
      </c>
    </row>
    <row r="24" spans="2:13" x14ac:dyDescent="0.2">
      <c r="C24" t="s">
        <v>0</v>
      </c>
      <c r="D24" t="s">
        <v>1</v>
      </c>
      <c r="E24" t="s">
        <v>9</v>
      </c>
      <c r="F24" t="s">
        <v>10</v>
      </c>
      <c r="G24" t="s">
        <v>13</v>
      </c>
      <c r="H24" t="s">
        <v>11</v>
      </c>
      <c r="I24" t="s">
        <v>12</v>
      </c>
    </row>
    <row r="25" spans="2:13" x14ac:dyDescent="0.2">
      <c r="C25">
        <v>0.5</v>
      </c>
      <c r="D25" s="1">
        <v>4.5600000000000002E-2</v>
      </c>
      <c r="E25">
        <f>(1/(1+D25/2)^(2*C25))</f>
        <v>0.97770825185764576</v>
      </c>
      <c r="F25">
        <f>$D$4*$D$2/$D$3</f>
        <v>2.5</v>
      </c>
      <c r="G25">
        <f>F25*E25</f>
        <v>2.4442706296441146</v>
      </c>
      <c r="H25">
        <f>G25/$G$31</f>
        <v>2.4723250205494297E-2</v>
      </c>
      <c r="I25" s="4">
        <f>(1/(1+D25/2))*H25*C25</f>
        <v>1.2086062869326505E-2</v>
      </c>
    </row>
    <row r="26" spans="2:13" x14ac:dyDescent="0.2">
      <c r="C26">
        <v>1</v>
      </c>
      <c r="D26" s="1">
        <v>4.7300000000000002E-2</v>
      </c>
      <c r="E26">
        <f t="shared" ref="E26:E30" si="5">(1/(1+D26/2)^(2*C26))</f>
        <v>0.95432657660017151</v>
      </c>
      <c r="F26">
        <f t="shared" ref="F26:F29" si="6">$D$4*$D$2/$D$3</f>
        <v>2.5</v>
      </c>
      <c r="G26">
        <f t="shared" ref="G26:G30" si="7">F26*E26</f>
        <v>2.3858164415004288</v>
      </c>
      <c r="H26">
        <f t="shared" ref="H26:H30" si="8">G26/$G$31</f>
        <v>2.4131999178906544E-2</v>
      </c>
      <c r="I26" s="4">
        <f t="shared" ref="I26:I30" si="9">(1/(1+D26/2))*H26*C26</f>
        <v>2.3574463125977184E-2</v>
      </c>
    </row>
    <row r="27" spans="2:13" x14ac:dyDescent="0.2">
      <c r="C27">
        <v>1.5</v>
      </c>
      <c r="D27" s="1">
        <v>4.8899999999999999E-2</v>
      </c>
      <c r="E27">
        <f t="shared" si="5"/>
        <v>0.93009583511500216</v>
      </c>
      <c r="F27">
        <f t="shared" si="6"/>
        <v>2.5</v>
      </c>
      <c r="G27">
        <f t="shared" si="7"/>
        <v>2.3252395877875056</v>
      </c>
      <c r="H27">
        <f t="shared" si="8"/>
        <v>2.3519277865299674E-2</v>
      </c>
      <c r="I27" s="4">
        <f t="shared" si="9"/>
        <v>3.4436933767338092E-2</v>
      </c>
    </row>
    <row r="28" spans="2:13" x14ac:dyDescent="0.2">
      <c r="C28">
        <v>2</v>
      </c>
      <c r="D28" s="1">
        <v>5.0099999999999999E-2</v>
      </c>
      <c r="E28">
        <f t="shared" si="5"/>
        <v>0.9057738954975515</v>
      </c>
      <c r="F28">
        <f t="shared" si="6"/>
        <v>2.5</v>
      </c>
      <c r="G28">
        <f t="shared" si="7"/>
        <v>2.2644347387438786</v>
      </c>
      <c r="H28">
        <f t="shared" si="8"/>
        <v>2.2904250429965405E-2</v>
      </c>
      <c r="I28" s="4">
        <f t="shared" si="9"/>
        <v>4.4689040397961864E-2</v>
      </c>
    </row>
    <row r="29" spans="2:13" x14ac:dyDescent="0.2">
      <c r="C29">
        <v>2.5</v>
      </c>
      <c r="D29" s="1">
        <v>5.3699999999999998E-2</v>
      </c>
      <c r="E29">
        <f t="shared" si="5"/>
        <v>0.87592104882473243</v>
      </c>
      <c r="F29">
        <f t="shared" si="6"/>
        <v>2.5</v>
      </c>
      <c r="G29">
        <f t="shared" si="7"/>
        <v>2.1898026220618312</v>
      </c>
      <c r="H29">
        <f t="shared" si="8"/>
        <v>2.2149363278060889E-2</v>
      </c>
      <c r="I29" s="4">
        <f t="shared" si="9"/>
        <v>5.3925508297367891E-2</v>
      </c>
    </row>
    <row r="30" spans="2:13" x14ac:dyDescent="0.2">
      <c r="C30">
        <v>3</v>
      </c>
      <c r="D30" s="1">
        <v>5.4399999999999997E-2</v>
      </c>
      <c r="E30">
        <f t="shared" si="5"/>
        <v>0.85127511037009362</v>
      </c>
      <c r="F30">
        <f>$D$4*$D$2/$D$3+D4</f>
        <v>102.5</v>
      </c>
      <c r="G30">
        <f t="shared" si="7"/>
        <v>87.255698812934597</v>
      </c>
      <c r="H30">
        <f t="shared" si="8"/>
        <v>0.8825718590422732</v>
      </c>
      <c r="I30" s="4">
        <f t="shared" si="9"/>
        <v>2.5776047285113122</v>
      </c>
    </row>
    <row r="31" spans="2:13" x14ac:dyDescent="0.2">
      <c r="F31" s="3"/>
      <c r="G31" s="3">
        <f>SUM(G25:G30)</f>
        <v>98.865262832672357</v>
      </c>
      <c r="I31" s="4">
        <f>SUM(I25:I30)</f>
        <v>2.7463167369692836</v>
      </c>
      <c r="J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626D-937C-403E-B0A8-D1F580B0FF07}">
  <dimension ref="B2:V31"/>
  <sheetViews>
    <sheetView workbookViewId="0">
      <selection activeCell="J11" sqref="J11"/>
    </sheetView>
  </sheetViews>
  <sheetFormatPr baseColWidth="10" defaultColWidth="8.83203125" defaultRowHeight="16" x14ac:dyDescent="0.2"/>
  <cols>
    <col min="3" max="3" width="17" bestFit="1" customWidth="1"/>
    <col min="12" max="12" width="22" bestFit="1" customWidth="1"/>
    <col min="20" max="20" width="12.83203125" bestFit="1" customWidth="1"/>
  </cols>
  <sheetData>
    <row r="2" spans="2:22" x14ac:dyDescent="0.2">
      <c r="C2" t="s">
        <v>5</v>
      </c>
      <c r="D2" s="2">
        <v>0.05</v>
      </c>
    </row>
    <row r="3" spans="2:22" x14ac:dyDescent="0.2">
      <c r="C3" t="s">
        <v>3</v>
      </c>
      <c r="D3">
        <v>2</v>
      </c>
    </row>
    <row r="4" spans="2:22" x14ac:dyDescent="0.2">
      <c r="C4" t="s">
        <v>4</v>
      </c>
      <c r="D4">
        <v>100</v>
      </c>
    </row>
    <row r="6" spans="2:22" x14ac:dyDescent="0.2">
      <c r="C6" t="s">
        <v>6</v>
      </c>
      <c r="D6">
        <v>0</v>
      </c>
      <c r="N6" t="s">
        <v>14</v>
      </c>
    </row>
    <row r="7" spans="2:22" x14ac:dyDescent="0.2">
      <c r="N7" s="1">
        <v>1E-3</v>
      </c>
    </row>
    <row r="8" spans="2:22" x14ac:dyDescent="0.2">
      <c r="B8" s="5" t="s">
        <v>2</v>
      </c>
      <c r="C8" s="5"/>
      <c r="L8" s="5" t="s">
        <v>2</v>
      </c>
      <c r="M8" s="5"/>
    </row>
    <row r="11" spans="2:22" x14ac:dyDescent="0.2">
      <c r="C11" t="s">
        <v>0</v>
      </c>
      <c r="D11" t="s">
        <v>1</v>
      </c>
      <c r="E11" t="s">
        <v>9</v>
      </c>
      <c r="F11" t="s">
        <v>10</v>
      </c>
      <c r="G11" t="s">
        <v>13</v>
      </c>
      <c r="H11" t="s">
        <v>11</v>
      </c>
      <c r="I11" t="s">
        <v>12</v>
      </c>
      <c r="M11" t="s">
        <v>0</v>
      </c>
      <c r="N11" t="s">
        <v>1</v>
      </c>
      <c r="O11" t="s">
        <v>9</v>
      </c>
      <c r="P11" t="s">
        <v>10</v>
      </c>
      <c r="Q11" t="s">
        <v>13</v>
      </c>
      <c r="R11" t="s">
        <v>11</v>
      </c>
      <c r="S11" t="s">
        <v>12</v>
      </c>
      <c r="T11" t="s">
        <v>15</v>
      </c>
      <c r="V11" s="1">
        <f>N12-D12</f>
        <v>1.0000000000000009E-3</v>
      </c>
    </row>
    <row r="12" spans="2:22" x14ac:dyDescent="0.2">
      <c r="C12">
        <v>0.5</v>
      </c>
      <c r="D12" s="1">
        <v>0.05</v>
      </c>
      <c r="E12">
        <f>EXP(-D12*C12)</f>
        <v>0.97530991202833262</v>
      </c>
      <c r="F12">
        <f>$D$4*$D$2/$D$3</f>
        <v>2.5</v>
      </c>
      <c r="G12">
        <f>F12*E12</f>
        <v>2.4382747800708318</v>
      </c>
      <c r="H12">
        <f>G12/$G$18</f>
        <v>2.4425098370749992E-2</v>
      </c>
      <c r="I12" s="4">
        <f>C12*H12</f>
        <v>1.2212549185374996E-2</v>
      </c>
      <c r="M12">
        <v>0.5</v>
      </c>
      <c r="N12" s="1">
        <f>D12+$N$7</f>
        <v>5.1000000000000004E-2</v>
      </c>
      <c r="O12">
        <f>EXP(-N12*M12)</f>
        <v>0.97482237896574109</v>
      </c>
      <c r="P12">
        <f>$D$4*$D$2/$D$3</f>
        <v>2.5</v>
      </c>
      <c r="Q12">
        <f>P12*O12</f>
        <v>2.4370559474143527</v>
      </c>
      <c r="R12">
        <f>Q12/$G$18</f>
        <v>2.4412888874193121E-2</v>
      </c>
      <c r="S12" s="4">
        <f>M12*R12</f>
        <v>1.2206444437096561E-2</v>
      </c>
    </row>
    <row r="13" spans="2:22" x14ac:dyDescent="0.2">
      <c r="C13">
        <v>1</v>
      </c>
      <c r="D13" s="1">
        <v>0.05</v>
      </c>
      <c r="E13">
        <f t="shared" ref="E13:E17" si="0">EXP(-D13*C13)</f>
        <v>0.95122942450071402</v>
      </c>
      <c r="F13">
        <f t="shared" ref="F13:F16" si="1">$D$4*$D$2/$D$3</f>
        <v>2.5</v>
      </c>
      <c r="G13">
        <f t="shared" ref="G13:G17" si="2">F13*E13</f>
        <v>2.3780735612517852</v>
      </c>
      <c r="H13">
        <f t="shared" ref="H13:H17" si="3">G13/$G$18</f>
        <v>2.3822040543259548E-2</v>
      </c>
      <c r="I13" s="4">
        <f t="shared" ref="I13:I17" si="4">C13*H13</f>
        <v>2.3822040543259548E-2</v>
      </c>
      <c r="M13">
        <v>1</v>
      </c>
      <c r="N13" s="1">
        <f t="shared" ref="N13:N17" si="5">D13+$N$7</f>
        <v>5.1000000000000004E-2</v>
      </c>
      <c r="O13">
        <f t="shared" ref="O13:O17" si="6">EXP(-N13*M13)</f>
        <v>0.95027867053242698</v>
      </c>
      <c r="P13">
        <f t="shared" ref="P13:P16" si="7">$D$4*$D$2/$D$3</f>
        <v>2.5</v>
      </c>
      <c r="Q13">
        <f t="shared" ref="Q13:Q17" si="8">P13*O13</f>
        <v>2.3756966763310676</v>
      </c>
      <c r="R13">
        <f t="shared" ref="R13:R17" si="9">Q13/$G$18</f>
        <v>2.3798230409767213E-2</v>
      </c>
      <c r="S13" s="4">
        <f t="shared" ref="S13:S17" si="10">M13*R13</f>
        <v>2.3798230409767213E-2</v>
      </c>
    </row>
    <row r="14" spans="2:22" x14ac:dyDescent="0.2">
      <c r="C14">
        <v>1.5</v>
      </c>
      <c r="D14" s="1">
        <v>0.05</v>
      </c>
      <c r="E14">
        <f t="shared" si="0"/>
        <v>0.92774348632855286</v>
      </c>
      <c r="F14">
        <f t="shared" si="1"/>
        <v>2.5</v>
      </c>
      <c r="G14">
        <f t="shared" si="2"/>
        <v>2.319358715821382</v>
      </c>
      <c r="H14">
        <f t="shared" si="3"/>
        <v>2.3233872266581839E-2</v>
      </c>
      <c r="I14" s="4">
        <f t="shared" si="4"/>
        <v>3.4850808399872757E-2</v>
      </c>
      <c r="M14">
        <v>1.5</v>
      </c>
      <c r="N14" s="1">
        <f t="shared" si="5"/>
        <v>5.1000000000000004E-2</v>
      </c>
      <c r="O14">
        <f t="shared" si="6"/>
        <v>0.92635291428882205</v>
      </c>
      <c r="P14">
        <f t="shared" si="7"/>
        <v>2.5</v>
      </c>
      <c r="Q14">
        <f t="shared" si="8"/>
        <v>2.3158822857220551</v>
      </c>
      <c r="R14">
        <f t="shared" si="9"/>
        <v>2.3199047583224115E-2</v>
      </c>
      <c r="S14" s="4">
        <f t="shared" si="10"/>
        <v>3.4798571374836176E-2</v>
      </c>
    </row>
    <row r="15" spans="2:22" x14ac:dyDescent="0.2">
      <c r="C15">
        <v>2</v>
      </c>
      <c r="D15" s="1">
        <v>0.05</v>
      </c>
      <c r="E15">
        <f t="shared" si="0"/>
        <v>0.90483741803595952</v>
      </c>
      <c r="F15">
        <f t="shared" si="1"/>
        <v>2.5</v>
      </c>
      <c r="G15">
        <f t="shared" si="2"/>
        <v>2.2620935450898987</v>
      </c>
      <c r="H15">
        <f t="shared" si="3"/>
        <v>2.2660225916397454E-2</v>
      </c>
      <c r="I15" s="4">
        <f t="shared" si="4"/>
        <v>4.5320451832794907E-2</v>
      </c>
      <c r="M15">
        <v>2</v>
      </c>
      <c r="N15" s="1">
        <f t="shared" si="5"/>
        <v>5.1000000000000004E-2</v>
      </c>
      <c r="O15">
        <f t="shared" si="6"/>
        <v>0.90302955166887677</v>
      </c>
      <c r="P15">
        <f t="shared" si="7"/>
        <v>2.5</v>
      </c>
      <c r="Q15">
        <f t="shared" si="8"/>
        <v>2.2575738791721918</v>
      </c>
      <c r="R15">
        <f t="shared" si="9"/>
        <v>2.2614950754817956E-2</v>
      </c>
      <c r="S15" s="4">
        <f t="shared" si="10"/>
        <v>4.5229901509635913E-2</v>
      </c>
    </row>
    <row r="16" spans="2:22" x14ac:dyDescent="0.2">
      <c r="C16">
        <v>2.5</v>
      </c>
      <c r="D16" s="1">
        <v>0.05</v>
      </c>
      <c r="E16">
        <f t="shared" si="0"/>
        <v>0.88249690258459546</v>
      </c>
      <c r="F16">
        <f t="shared" si="1"/>
        <v>2.5</v>
      </c>
      <c r="G16">
        <f t="shared" si="2"/>
        <v>2.2062422564614885</v>
      </c>
      <c r="H16">
        <f t="shared" si="3"/>
        <v>2.2100742945063746E-2</v>
      </c>
      <c r="I16" s="4">
        <f t="shared" si="4"/>
        <v>5.5251857362659362E-2</v>
      </c>
      <c r="M16">
        <v>2.5</v>
      </c>
      <c r="N16" s="1">
        <f t="shared" si="5"/>
        <v>5.1000000000000004E-2</v>
      </c>
      <c r="O16">
        <f t="shared" si="6"/>
        <v>0.88029341583422116</v>
      </c>
      <c r="P16">
        <f t="shared" si="7"/>
        <v>2.5</v>
      </c>
      <c r="Q16">
        <f t="shared" si="8"/>
        <v>2.2007335395855527</v>
      </c>
      <c r="R16">
        <f t="shared" si="9"/>
        <v>2.2045560095004725E-2</v>
      </c>
      <c r="S16" s="4">
        <f t="shared" si="10"/>
        <v>5.5113900237511809E-2</v>
      </c>
    </row>
    <row r="17" spans="2:22" x14ac:dyDescent="0.2">
      <c r="C17">
        <v>3</v>
      </c>
      <c r="D17" s="1">
        <v>0.05</v>
      </c>
      <c r="E17">
        <f t="shared" si="0"/>
        <v>0.86070797642505781</v>
      </c>
      <c r="F17">
        <f>$D$4*$D$2/$D$3+D4</f>
        <v>102.5</v>
      </c>
      <c r="G17">
        <f t="shared" si="2"/>
        <v>88.22256758356842</v>
      </c>
      <c r="H17">
        <f t="shared" si="3"/>
        <v>0.88375801995794745</v>
      </c>
      <c r="I17" s="4">
        <f t="shared" si="4"/>
        <v>2.6512740598738422</v>
      </c>
      <c r="M17">
        <v>3</v>
      </c>
      <c r="N17" s="1">
        <f t="shared" si="5"/>
        <v>5.1000000000000004E-2</v>
      </c>
      <c r="O17">
        <f t="shared" si="6"/>
        <v>0.8581297218113938</v>
      </c>
      <c r="P17">
        <f>$D$4*$D$2/$D$3+N4</f>
        <v>2.5</v>
      </c>
      <c r="Q17">
        <f>P17*O17+D4</f>
        <v>102.14532430452849</v>
      </c>
      <c r="R17">
        <f t="shared" si="9"/>
        <v>1.023227412530507</v>
      </c>
      <c r="S17" s="4">
        <f t="shared" si="10"/>
        <v>3.0696822375915209</v>
      </c>
    </row>
    <row r="18" spans="2:22" x14ac:dyDescent="0.2">
      <c r="F18" s="3"/>
      <c r="G18" s="3">
        <f>SUM(G12:G17)</f>
        <v>99.826610442263799</v>
      </c>
      <c r="I18" s="4">
        <f>SUM(I12:I17)</f>
        <v>2.8227317671978036</v>
      </c>
      <c r="P18" s="3"/>
      <c r="Q18" s="3">
        <f>SUM(Q12:Q17)</f>
        <v>113.73226663275371</v>
      </c>
      <c r="S18" s="4">
        <f>SUM(S12:S17)</f>
        <v>3.2408292855603684</v>
      </c>
      <c r="U18">
        <f>-S18*Q18*V11</f>
        <v>-0.36858686041658889</v>
      </c>
    </row>
    <row r="19" spans="2:22" x14ac:dyDescent="0.2">
      <c r="N19" t="s">
        <v>14</v>
      </c>
    </row>
    <row r="20" spans="2:22" x14ac:dyDescent="0.2">
      <c r="N20" s="1">
        <v>1.1000000000000001E-3</v>
      </c>
    </row>
    <row r="21" spans="2:22" x14ac:dyDescent="0.2">
      <c r="B21" s="6" t="s">
        <v>8</v>
      </c>
      <c r="C21" s="6"/>
      <c r="L21" s="6" t="s">
        <v>8</v>
      </c>
      <c r="M21" s="6"/>
    </row>
    <row r="22" spans="2:22" x14ac:dyDescent="0.2">
      <c r="C22" t="s">
        <v>7</v>
      </c>
      <c r="D22">
        <v>2</v>
      </c>
      <c r="M22" t="s">
        <v>7</v>
      </c>
      <c r="N22">
        <v>2</v>
      </c>
      <c r="V22" s="8">
        <f>N25-D25</f>
        <v>1.0255714920313075E-3</v>
      </c>
    </row>
    <row r="24" spans="2:22" x14ac:dyDescent="0.2">
      <c r="C24" t="s">
        <v>0</v>
      </c>
      <c r="D24" t="s">
        <v>1</v>
      </c>
      <c r="E24" t="s">
        <v>9</v>
      </c>
      <c r="F24" t="s">
        <v>10</v>
      </c>
      <c r="G24" t="s">
        <v>13</v>
      </c>
      <c r="H24" t="s">
        <v>11</v>
      </c>
      <c r="I24" t="s">
        <v>12</v>
      </c>
      <c r="M24" t="s">
        <v>0</v>
      </c>
      <c r="N24" t="s">
        <v>1</v>
      </c>
      <c r="O24" t="s">
        <v>9</v>
      </c>
      <c r="P24" t="s">
        <v>10</v>
      </c>
      <c r="Q24" t="s">
        <v>13</v>
      </c>
      <c r="R24" t="s">
        <v>11</v>
      </c>
      <c r="S24" t="s">
        <v>12</v>
      </c>
      <c r="T24" t="s">
        <v>15</v>
      </c>
    </row>
    <row r="25" spans="2:22" x14ac:dyDescent="0.2">
      <c r="C25">
        <v>0.5</v>
      </c>
      <c r="D25" s="1">
        <f>2*(EXP(D12/2)-1)</f>
        <v>5.0630241048857716E-2</v>
      </c>
      <c r="E25">
        <f>(1/(1+D25/2)^(2*C25))</f>
        <v>0.97530991202833262</v>
      </c>
      <c r="F25">
        <f>$D$4*$D$2/$D$3</f>
        <v>2.5</v>
      </c>
      <c r="G25">
        <f>F25*E25</f>
        <v>2.4382747800708318</v>
      </c>
      <c r="H25">
        <f>G25/$G$31</f>
        <v>2.4425098370749992E-2</v>
      </c>
      <c r="I25" s="4">
        <f>(1/(1+D25/2))*H25*C25</f>
        <v>1.1911020271629772E-2</v>
      </c>
      <c r="M25">
        <v>0.5</v>
      </c>
      <c r="N25" s="1">
        <f>2*(EXP(N12/2)-1)</f>
        <v>5.1655812540889023E-2</v>
      </c>
      <c r="O25">
        <f>(1/(1+N25/2)^(2*M25))</f>
        <v>0.97482237896574109</v>
      </c>
      <c r="P25">
        <f>$D$4*$D$2/$D$3</f>
        <v>2.5</v>
      </c>
      <c r="Q25">
        <f>P25*O25</f>
        <v>2.4370559474143527</v>
      </c>
      <c r="R25">
        <f>Q25/$G$31</f>
        <v>2.4412888874193121E-2</v>
      </c>
      <c r="S25" s="4">
        <f>(1/(1+N25/2))*R25*M25</f>
        <v>1.1899115204883605E-2</v>
      </c>
    </row>
    <row r="26" spans="2:22" x14ac:dyDescent="0.2">
      <c r="C26">
        <v>1</v>
      </c>
      <c r="D26" s="1">
        <f t="shared" ref="D26:D30" si="11">2*(EXP(D13/2)-1)</f>
        <v>5.0630241048857716E-2</v>
      </c>
      <c r="E26">
        <f t="shared" ref="E26:E30" si="12">(1/(1+D26/2)^(2*C26))</f>
        <v>0.9512294245007139</v>
      </c>
      <c r="F26">
        <f t="shared" ref="F26:F29" si="13">$D$4*$D$2/$D$3</f>
        <v>2.5</v>
      </c>
      <c r="G26">
        <f t="shared" ref="G26:G30" si="14">F26*E26</f>
        <v>2.3780735612517847</v>
      </c>
      <c r="H26">
        <f t="shared" ref="H26:H30" si="15">G26/$G$31</f>
        <v>2.3822040543259544E-2</v>
      </c>
      <c r="I26" s="4">
        <f t="shared" ref="I26:I30" si="16">(1/(1+D26/2))*H26*C26</f>
        <v>2.3233872266581839E-2</v>
      </c>
      <c r="M26">
        <v>1</v>
      </c>
      <c r="N26" s="1">
        <f t="shared" ref="N26:N30" si="17">2*(EXP(N13/2)-1)</f>
        <v>5.1655812540889023E-2</v>
      </c>
      <c r="O26">
        <f t="shared" ref="O26:O30" si="18">(1/(1+N26/2)^(2*M26))</f>
        <v>0.95027867053242698</v>
      </c>
      <c r="P26">
        <f t="shared" ref="P26:P29" si="19">$D$4*$D$2/$D$3</f>
        <v>2.5</v>
      </c>
      <c r="Q26">
        <f t="shared" ref="Q26:Q30" si="20">P26*O26</f>
        <v>2.3756966763310676</v>
      </c>
      <c r="R26">
        <f t="shared" ref="R26:R30" si="21">Q26/$G$31</f>
        <v>2.3798230409767213E-2</v>
      </c>
      <c r="S26" s="4">
        <f t="shared" ref="S26:S30" si="22">(1/(1+N26/2))*R26*M26</f>
        <v>2.3199047583224119E-2</v>
      </c>
    </row>
    <row r="27" spans="2:22" x14ac:dyDescent="0.2">
      <c r="C27">
        <v>1.5</v>
      </c>
      <c r="D27" s="1">
        <f t="shared" si="11"/>
        <v>5.0630241048857716E-2</v>
      </c>
      <c r="E27">
        <f t="shared" si="12"/>
        <v>0.92774348632855275</v>
      </c>
      <c r="F27">
        <f t="shared" si="13"/>
        <v>2.5</v>
      </c>
      <c r="G27">
        <f t="shared" si="14"/>
        <v>2.319358715821382</v>
      </c>
      <c r="H27">
        <f t="shared" si="15"/>
        <v>2.3233872266581839E-2</v>
      </c>
      <c r="I27" s="4">
        <f t="shared" si="16"/>
        <v>3.3990338874596175E-2</v>
      </c>
      <c r="M27">
        <v>1.5</v>
      </c>
      <c r="N27" s="1">
        <f t="shared" si="17"/>
        <v>5.1655812540889023E-2</v>
      </c>
      <c r="O27">
        <f t="shared" si="18"/>
        <v>0.92635291428882227</v>
      </c>
      <c r="P27">
        <f t="shared" si="19"/>
        <v>2.5</v>
      </c>
      <c r="Q27">
        <f t="shared" si="20"/>
        <v>2.3158822857220556</v>
      </c>
      <c r="R27">
        <f t="shared" si="21"/>
        <v>2.3199047583224119E-2</v>
      </c>
      <c r="S27" s="4">
        <f t="shared" si="22"/>
        <v>3.3922426132226943E-2</v>
      </c>
    </row>
    <row r="28" spans="2:22" x14ac:dyDescent="0.2">
      <c r="C28">
        <v>2</v>
      </c>
      <c r="D28" s="1">
        <f t="shared" si="11"/>
        <v>5.0630241048857716E-2</v>
      </c>
      <c r="E28">
        <f t="shared" si="12"/>
        <v>0.90483741803595952</v>
      </c>
      <c r="F28">
        <f t="shared" si="13"/>
        <v>2.5</v>
      </c>
      <c r="G28">
        <f t="shared" si="14"/>
        <v>2.2620935450898987</v>
      </c>
      <c r="H28">
        <f t="shared" si="15"/>
        <v>2.2660225916397454E-2</v>
      </c>
      <c r="I28" s="4">
        <f t="shared" si="16"/>
        <v>4.4201485890127484E-2</v>
      </c>
      <c r="M28">
        <v>2</v>
      </c>
      <c r="N28" s="1">
        <f t="shared" si="17"/>
        <v>5.1655812540889023E-2</v>
      </c>
      <c r="O28">
        <f t="shared" si="18"/>
        <v>0.903029551668877</v>
      </c>
      <c r="P28">
        <f t="shared" si="19"/>
        <v>2.5</v>
      </c>
      <c r="Q28">
        <f t="shared" si="20"/>
        <v>2.2575738791721927</v>
      </c>
      <c r="R28">
        <f t="shared" si="21"/>
        <v>2.2614950754817963E-2</v>
      </c>
      <c r="S28" s="4">
        <f t="shared" si="22"/>
        <v>4.4091120190009457E-2</v>
      </c>
    </row>
    <row r="29" spans="2:22" x14ac:dyDescent="0.2">
      <c r="C29">
        <v>2.5</v>
      </c>
      <c r="D29" s="1">
        <f t="shared" si="11"/>
        <v>5.0630241048857716E-2</v>
      </c>
      <c r="E29">
        <f t="shared" si="12"/>
        <v>0.88249690258459534</v>
      </c>
      <c r="F29">
        <f t="shared" si="13"/>
        <v>2.5</v>
      </c>
      <c r="G29">
        <f t="shared" si="14"/>
        <v>2.2062422564614885</v>
      </c>
      <c r="H29">
        <f t="shared" si="15"/>
        <v>2.2100742945063746E-2</v>
      </c>
      <c r="I29" s="4">
        <f t="shared" si="16"/>
        <v>5.3887684143777287E-2</v>
      </c>
      <c r="M29">
        <v>2.5</v>
      </c>
      <c r="N29" s="1">
        <f t="shared" si="17"/>
        <v>5.1655812540889023E-2</v>
      </c>
      <c r="O29">
        <f t="shared" si="18"/>
        <v>0.88029341583422127</v>
      </c>
      <c r="P29">
        <f t="shared" si="19"/>
        <v>2.5</v>
      </c>
      <c r="Q29">
        <f t="shared" si="20"/>
        <v>2.2007335395855532</v>
      </c>
      <c r="R29">
        <f t="shared" si="21"/>
        <v>2.2045560095004729E-2</v>
      </c>
      <c r="S29" s="4">
        <f t="shared" si="22"/>
        <v>5.3726263343611795E-2</v>
      </c>
    </row>
    <row r="30" spans="2:22" x14ac:dyDescent="0.2">
      <c r="C30">
        <v>3</v>
      </c>
      <c r="D30" s="1">
        <f t="shared" si="11"/>
        <v>5.0630241048857716E-2</v>
      </c>
      <c r="E30">
        <f t="shared" si="12"/>
        <v>0.8607079764250577</v>
      </c>
      <c r="F30">
        <f>$D$4*$D$2/$D$3+D4</f>
        <v>102.5</v>
      </c>
      <c r="G30">
        <f t="shared" si="14"/>
        <v>88.22256758356842</v>
      </c>
      <c r="H30">
        <f t="shared" si="15"/>
        <v>0.88375801995794745</v>
      </c>
      <c r="I30" s="4">
        <f t="shared" si="16"/>
        <v>2.5858138700985576</v>
      </c>
      <c r="M30">
        <v>3</v>
      </c>
      <c r="N30" s="1">
        <f t="shared" si="17"/>
        <v>5.1655812540889023E-2</v>
      </c>
      <c r="O30">
        <f t="shared" si="18"/>
        <v>0.85812972181139402</v>
      </c>
      <c r="P30">
        <f>$D$4*$D$2/$D$3+N4</f>
        <v>2.5</v>
      </c>
      <c r="Q30">
        <f>P30*O30+D4</f>
        <v>102.14532430452849</v>
      </c>
      <c r="R30">
        <f t="shared" si="21"/>
        <v>1.023227412530507</v>
      </c>
      <c r="S30" s="4">
        <f t="shared" si="22"/>
        <v>2.9923949415178459</v>
      </c>
    </row>
    <row r="31" spans="2:22" x14ac:dyDescent="0.2">
      <c r="F31" s="3"/>
      <c r="G31" s="3">
        <f>SUM(G25:G30)</f>
        <v>99.826610442263799</v>
      </c>
      <c r="I31" s="4">
        <f>SUM(I25:I30)</f>
        <v>2.7530382715452699</v>
      </c>
      <c r="P31" s="3"/>
      <c r="Q31" s="3">
        <f>SUM(Q25:Q30)</f>
        <v>113.73226663275371</v>
      </c>
      <c r="S31" s="4">
        <f>SUM(S25:S30)</f>
        <v>3.1592329139718016</v>
      </c>
      <c r="U31">
        <f>-S31*Q31*V22</f>
        <v>-0.36849472905733038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F873-2DDE-2F4F-A730-9426A4BAC197}">
  <dimension ref="B2:J18"/>
  <sheetViews>
    <sheetView tabSelected="1" workbookViewId="0">
      <selection activeCell="K18" sqref="K18"/>
    </sheetView>
  </sheetViews>
  <sheetFormatPr baseColWidth="10" defaultRowHeight="16" x14ac:dyDescent="0.2"/>
  <cols>
    <col min="3" max="3" width="17" bestFit="1" customWidth="1"/>
  </cols>
  <sheetData>
    <row r="2" spans="2:10" x14ac:dyDescent="0.2">
      <c r="C2" t="s">
        <v>5</v>
      </c>
      <c r="D2" s="2">
        <v>0.05</v>
      </c>
    </row>
    <row r="3" spans="2:10" x14ac:dyDescent="0.2">
      <c r="C3" t="s">
        <v>3</v>
      </c>
      <c r="D3">
        <v>2</v>
      </c>
    </row>
    <row r="4" spans="2:10" x14ac:dyDescent="0.2">
      <c r="C4" t="s">
        <v>4</v>
      </c>
      <c r="D4">
        <v>100</v>
      </c>
    </row>
    <row r="6" spans="2:10" x14ac:dyDescent="0.2">
      <c r="C6" t="s">
        <v>6</v>
      </c>
      <c r="D6">
        <v>0</v>
      </c>
    </row>
    <row r="8" spans="2:10" x14ac:dyDescent="0.2">
      <c r="B8" s="5" t="s">
        <v>2</v>
      </c>
      <c r="C8" s="5"/>
    </row>
    <row r="11" spans="2:10" x14ac:dyDescent="0.2">
      <c r="C11" t="s">
        <v>0</v>
      </c>
      <c r="D11" t="s">
        <v>1</v>
      </c>
      <c r="E11" t="s">
        <v>9</v>
      </c>
      <c r="F11" t="s">
        <v>10</v>
      </c>
      <c r="G11" t="s">
        <v>13</v>
      </c>
      <c r="H11" t="s">
        <v>11</v>
      </c>
      <c r="I11" t="s">
        <v>12</v>
      </c>
      <c r="J11" t="s">
        <v>16</v>
      </c>
    </row>
    <row r="12" spans="2:10" x14ac:dyDescent="0.2">
      <c r="C12">
        <v>0.5</v>
      </c>
      <c r="D12" s="1">
        <v>4.5600000000000002E-2</v>
      </c>
      <c r="E12">
        <f>EXP(-D12*C12)</f>
        <v>0.97745795581658446</v>
      </c>
      <c r="F12">
        <f>$D$4*$D$2/$D$3</f>
        <v>2.5</v>
      </c>
      <c r="G12">
        <f>F12*E12</f>
        <v>2.4436448895414613</v>
      </c>
      <c r="H12">
        <f>G12/$G$18</f>
        <v>2.4767192847001334E-2</v>
      </c>
      <c r="I12" s="4">
        <f>C12*H12</f>
        <v>1.2383596423500667E-2</v>
      </c>
    </row>
    <row r="13" spans="2:10" x14ac:dyDescent="0.2">
      <c r="C13">
        <v>1</v>
      </c>
      <c r="D13" s="1">
        <v>4.7300000000000002E-2</v>
      </c>
      <c r="E13">
        <f t="shared" ref="E13:E17" si="0">EXP(-D13*C13)</f>
        <v>0.95380121430073384</v>
      </c>
      <c r="F13">
        <f t="shared" ref="F13:F16" si="1">$D$4*$D$2/$D$3</f>
        <v>2.5</v>
      </c>
      <c r="G13">
        <f t="shared" ref="G13:G17" si="2">F13*E13</f>
        <v>2.3845030357518344</v>
      </c>
      <c r="H13">
        <f t="shared" ref="H13:H17" si="3">G13/$G$18</f>
        <v>2.416776954110041E-2</v>
      </c>
      <c r="I13" s="4">
        <f t="shared" ref="I13:I17" si="4">C13*H13</f>
        <v>2.416776954110041E-2</v>
      </c>
    </row>
    <row r="14" spans="2:10" x14ac:dyDescent="0.2">
      <c r="C14">
        <v>1.5</v>
      </c>
      <c r="D14" s="1">
        <v>4.8899999999999999E-2</v>
      </c>
      <c r="E14">
        <f t="shared" si="0"/>
        <v>0.92927552666669233</v>
      </c>
      <c r="F14">
        <f t="shared" si="1"/>
        <v>2.5</v>
      </c>
      <c r="G14">
        <f t="shared" si="2"/>
        <v>2.3231888166667307</v>
      </c>
      <c r="H14">
        <f t="shared" si="3"/>
        <v>2.354632855561049E-2</v>
      </c>
      <c r="I14" s="4">
        <f t="shared" si="4"/>
        <v>3.5319492833415733E-2</v>
      </c>
    </row>
    <row r="15" spans="2:10" x14ac:dyDescent="0.2">
      <c r="C15">
        <v>2</v>
      </c>
      <c r="D15" s="1">
        <v>5.0099999999999999E-2</v>
      </c>
      <c r="E15">
        <f t="shared" si="0"/>
        <v>0.9046564686478944</v>
      </c>
      <c r="F15">
        <f t="shared" si="1"/>
        <v>2.5</v>
      </c>
      <c r="G15">
        <f t="shared" si="2"/>
        <v>2.2616411716197362</v>
      </c>
      <c r="H15">
        <f t="shared" si="3"/>
        <v>2.2922521716620993E-2</v>
      </c>
      <c r="I15" s="4">
        <f t="shared" si="4"/>
        <v>4.5845043433241986E-2</v>
      </c>
    </row>
    <row r="16" spans="2:10" x14ac:dyDescent="0.2">
      <c r="C16">
        <v>2.5</v>
      </c>
      <c r="D16" s="1">
        <v>5.3699999999999998E-2</v>
      </c>
      <c r="E16">
        <f t="shared" si="0"/>
        <v>0.87437144441584536</v>
      </c>
      <c r="F16">
        <f t="shared" si="1"/>
        <v>2.5</v>
      </c>
      <c r="G16">
        <f t="shared" si="2"/>
        <v>2.1859286110396132</v>
      </c>
      <c r="H16">
        <f t="shared" si="3"/>
        <v>2.2155148520599844E-2</v>
      </c>
      <c r="I16" s="4">
        <f t="shared" si="4"/>
        <v>5.5387871301499608E-2</v>
      </c>
    </row>
    <row r="17" spans="3:9" x14ac:dyDescent="0.2">
      <c r="C17">
        <v>3</v>
      </c>
      <c r="D17" s="1">
        <v>5.4399999999999997E-2</v>
      </c>
      <c r="E17">
        <f t="shared" si="0"/>
        <v>0.84942128716759835</v>
      </c>
      <c r="F17">
        <f>$D$4*$D$2/$D$3+D4</f>
        <v>102.5</v>
      </c>
      <c r="G17">
        <f t="shared" si="2"/>
        <v>87.065681934678835</v>
      </c>
      <c r="H17">
        <f t="shared" si="3"/>
        <v>0.88244103881906688</v>
      </c>
      <c r="I17" s="4">
        <f t="shared" si="4"/>
        <v>2.6473231164572004</v>
      </c>
    </row>
    <row r="18" spans="3:9" x14ac:dyDescent="0.2">
      <c r="F18" s="3"/>
      <c r="G18" s="3">
        <f>SUM(G12:G17)</f>
        <v>98.664588459298216</v>
      </c>
      <c r="I18" s="4">
        <f>SUM(I12:I17)</f>
        <v>2.8204268899899589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Duration</vt:lpstr>
      <vt:lpstr>w equiv rates</vt:lpstr>
      <vt:lpstr>COG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Schneider</dc:creator>
  <cp:lastModifiedBy>DIEGO CORDOBA URRUTIA</cp:lastModifiedBy>
  <dcterms:created xsi:type="dcterms:W3CDTF">2025-09-03T19:48:20Z</dcterms:created>
  <dcterms:modified xsi:type="dcterms:W3CDTF">2026-02-06T16:58:11Z</dcterms:modified>
</cp:coreProperties>
</file>