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egocordoba/Desktop/"/>
    </mc:Choice>
  </mc:AlternateContent>
  <xr:revisionPtr revIDLastSave="0" documentId="8_{5509F633-C2EE-E44C-B726-CE7B306E943F}" xr6:coauthVersionLast="47" xr6:coauthVersionMax="47" xr10:uidLastSave="{00000000-0000-0000-0000-000000000000}"/>
  <bookViews>
    <workbookView xWindow="4120" yWindow="920" windowWidth="15460" windowHeight="12160" xr2:uid="{BD6461CF-21AF-4E5F-A904-7F437F583F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E20" i="1"/>
  <c r="D30" i="1"/>
  <c r="D31" i="1"/>
  <c r="D32" i="1"/>
  <c r="D33" i="1"/>
  <c r="D34" i="1"/>
  <c r="F34" i="1" s="1"/>
  <c r="D35" i="1"/>
  <c r="K11" i="1"/>
  <c r="K12" i="1"/>
  <c r="K13" i="1"/>
  <c r="M13" i="1" s="1"/>
  <c r="N13" i="1" s="1"/>
  <c r="K14" i="1"/>
  <c r="M14" i="1" s="1"/>
  <c r="K15" i="1"/>
  <c r="M15" i="1" s="1"/>
  <c r="K10" i="1"/>
  <c r="M10" i="1" s="1"/>
  <c r="L15" i="1"/>
  <c r="L14" i="1"/>
  <c r="L13" i="1"/>
  <c r="M12" i="1"/>
  <c r="L12" i="1"/>
  <c r="N12" i="1" s="1"/>
  <c r="M11" i="1"/>
  <c r="L11" i="1"/>
  <c r="L10" i="1"/>
  <c r="E15" i="1"/>
  <c r="E35" i="1"/>
  <c r="F35" i="1"/>
  <c r="G35" i="1"/>
  <c r="E34" i="1"/>
  <c r="F33" i="1"/>
  <c r="G33" i="1" s="1"/>
  <c r="E33" i="1"/>
  <c r="F32" i="1"/>
  <c r="E32" i="1"/>
  <c r="G32" i="1" s="1"/>
  <c r="F31" i="1"/>
  <c r="E31" i="1"/>
  <c r="F30" i="1"/>
  <c r="E30" i="1"/>
  <c r="E25" i="1"/>
  <c r="G25" i="1" s="1"/>
  <c r="F10" i="1"/>
  <c r="F21" i="1"/>
  <c r="F22" i="1"/>
  <c r="F23" i="1"/>
  <c r="F24" i="1"/>
  <c r="F25" i="1"/>
  <c r="E24" i="1"/>
  <c r="G24" i="1" s="1"/>
  <c r="E23" i="1"/>
  <c r="E22" i="1"/>
  <c r="E21" i="1"/>
  <c r="G21" i="1" s="1"/>
  <c r="G11" i="1"/>
  <c r="G12" i="1"/>
  <c r="G13" i="1"/>
  <c r="F11" i="1"/>
  <c r="F12" i="1"/>
  <c r="F13" i="1"/>
  <c r="F14" i="1"/>
  <c r="F15" i="1"/>
  <c r="G15" i="1"/>
  <c r="E11" i="1"/>
  <c r="E12" i="1"/>
  <c r="E13" i="1"/>
  <c r="E14" i="1"/>
  <c r="G14" i="1" s="1"/>
  <c r="E10" i="1"/>
  <c r="G34" i="1" l="1"/>
  <c r="G31" i="1"/>
  <c r="N15" i="1"/>
  <c r="N14" i="1"/>
  <c r="N11" i="1"/>
  <c r="N10" i="1"/>
  <c r="G30" i="1"/>
  <c r="G36" i="1" s="1"/>
  <c r="G10" i="1"/>
  <c r="G16" i="1" s="1"/>
  <c r="G22" i="1"/>
  <c r="G23" i="1"/>
  <c r="G20" i="1"/>
  <c r="G26" i="1"/>
  <c r="N16" i="1" l="1"/>
  <c r="N18" i="1" s="1"/>
</calcChain>
</file>

<file path=xl/sharedStrings.xml><?xml version="1.0" encoding="utf-8"?>
<sst xmlns="http://schemas.openxmlformats.org/spreadsheetml/2006/main" count="40" uniqueCount="20">
  <si>
    <t>Coupon rate</t>
  </si>
  <si>
    <t>Maturity</t>
  </si>
  <si>
    <t>Compounding frequency</t>
  </si>
  <si>
    <t>(semi-annual)</t>
  </si>
  <si>
    <t>(years)</t>
  </si>
  <si>
    <t xml:space="preserve">Payment frequency </t>
  </si>
  <si>
    <t>(annual)</t>
  </si>
  <si>
    <t>Ti-t</t>
  </si>
  <si>
    <t>r</t>
  </si>
  <si>
    <t>Z</t>
  </si>
  <si>
    <t>Notional</t>
  </si>
  <si>
    <t>cash flow (CF)</t>
  </si>
  <si>
    <t>cash flow x Z</t>
  </si>
  <si>
    <t>Semi-annual compounding</t>
  </si>
  <si>
    <t>Pz</t>
  </si>
  <si>
    <t>Continuous compounding</t>
  </si>
  <si>
    <t>Equiv cont com rates</t>
  </si>
  <si>
    <t>yield to maturity</t>
  </si>
  <si>
    <t>y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</si>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</sst>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1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5CB66-C27B-4D61-A2DF-0CDF87CCC6D1}">
  <dimension ref="C2:N36"/>
  <sheetViews>
    <sheetView tabSelected="1" workbookViewId="0">
      <selection activeCell="G20" sqref="G20"/>
    </sheetView>
  </sheetViews>
  <sheetFormatPr baseColWidth="10" defaultColWidth="8.83203125" defaultRowHeight="16" x14ac:dyDescent="0.2"/>
  <cols>
    <col min="3" max="3" width="24.83203125" customWidth="1"/>
    <col min="5" max="5" width="12.83203125" bestFit="1" customWidth="1"/>
    <col min="6" max="6" width="8.83203125" customWidth="1"/>
    <col min="7" max="7" width="11.5" bestFit="1" customWidth="1"/>
    <col min="10" max="10" width="23.33203125" bestFit="1" customWidth="1"/>
  </cols>
  <sheetData>
    <row r="2" spans="3:14" x14ac:dyDescent="0.2">
      <c r="C2" t="s">
        <v>10</v>
      </c>
      <c r="D2">
        <v>100</v>
      </c>
    </row>
    <row r="3" spans="3:14" x14ac:dyDescent="0.2">
      <c r="C3" t="s">
        <v>1</v>
      </c>
      <c r="D3">
        <v>3</v>
      </c>
      <c r="E3" t="s">
        <v>4</v>
      </c>
    </row>
    <row r="4" spans="3:14" x14ac:dyDescent="0.2">
      <c r="C4" t="s">
        <v>0</v>
      </c>
      <c r="D4" s="1">
        <v>0.05</v>
      </c>
      <c r="E4" t="s">
        <v>6</v>
      </c>
    </row>
    <row r="5" spans="3:14" x14ac:dyDescent="0.2">
      <c r="C5" t="s">
        <v>5</v>
      </c>
      <c r="D5">
        <v>2</v>
      </c>
      <c r="E5" t="s">
        <v>3</v>
      </c>
      <c r="J5" t="s">
        <v>17</v>
      </c>
    </row>
    <row r="6" spans="3:14" x14ac:dyDescent="0.2">
      <c r="C6" t="s">
        <v>2</v>
      </c>
      <c r="D6">
        <v>2</v>
      </c>
      <c r="E6" t="s">
        <v>3</v>
      </c>
      <c r="J6" t="s">
        <v>18</v>
      </c>
      <c r="K6" s="2">
        <v>5.4148707466995051E-2</v>
      </c>
    </row>
    <row r="8" spans="3:14" x14ac:dyDescent="0.2">
      <c r="C8" t="s">
        <v>13</v>
      </c>
      <c r="J8" t="s">
        <v>13</v>
      </c>
    </row>
    <row r="9" spans="3:14" x14ac:dyDescent="0.2">
      <c r="C9" t="s">
        <v>7</v>
      </c>
      <c r="D9" t="s">
        <v>8</v>
      </c>
      <c r="E9" t="s">
        <v>11</v>
      </c>
      <c r="F9" t="s">
        <v>9</v>
      </c>
      <c r="G9" t="s">
        <v>12</v>
      </c>
      <c r="J9" t="s">
        <v>7</v>
      </c>
      <c r="K9" t="s">
        <v>8</v>
      </c>
      <c r="L9" t="s">
        <v>11</v>
      </c>
      <c r="M9" t="s">
        <v>9</v>
      </c>
      <c r="N9" t="s">
        <v>12</v>
      </c>
    </row>
    <row r="10" spans="3:14" x14ac:dyDescent="0.2">
      <c r="C10">
        <v>0.5</v>
      </c>
      <c r="D10" s="2">
        <v>4.5600000000000002E-2</v>
      </c>
      <c r="E10">
        <f>$D$4/$D$5*$D$2</f>
        <v>2.5</v>
      </c>
      <c r="F10" s="3">
        <f>1/(1+D10/$D$6)^($D$6*C10)</f>
        <v>0.97770825185764576</v>
      </c>
      <c r="G10">
        <f>E10*F10</f>
        <v>2.4442706296441146</v>
      </c>
      <c r="J10">
        <v>0.5</v>
      </c>
      <c r="K10" s="2">
        <f>$K$6</f>
        <v>5.4148707466995051E-2</v>
      </c>
      <c r="L10">
        <f>$D$4/$D$5*$D$2</f>
        <v>2.5</v>
      </c>
      <c r="M10" s="3">
        <f>1/(1+K10/$D$6)^($D$6*J10)</f>
        <v>0.97363934399191254</v>
      </c>
      <c r="N10">
        <f>L10*M10</f>
        <v>2.4340983599797812</v>
      </c>
    </row>
    <row r="11" spans="3:14" x14ac:dyDescent="0.2">
      <c r="C11">
        <v>1</v>
      </c>
      <c r="D11" s="2">
        <v>4.7300000000000002E-2</v>
      </c>
      <c r="E11">
        <f t="shared" ref="E11:E14" si="0">$D$4/$D$5*$D$2</f>
        <v>2.5</v>
      </c>
      <c r="F11" s="3">
        <f t="shared" ref="F11:F15" si="1">1/(1+D11/$D$6)^($D$6*C11)</f>
        <v>0.95432657660017151</v>
      </c>
      <c r="G11">
        <f t="shared" ref="G11:G15" si="2">E11*F11</f>
        <v>2.3858164415004288</v>
      </c>
      <c r="J11">
        <v>1</v>
      </c>
      <c r="K11" s="2">
        <f t="shared" ref="K11:K15" si="3">$K$6</f>
        <v>5.4148707466995051E-2</v>
      </c>
      <c r="L11">
        <f t="shared" ref="L11:L14" si="4">$D$4/$D$5*$D$2</f>
        <v>2.5</v>
      </c>
      <c r="M11" s="3">
        <f t="shared" ref="M11:M15" si="5">1/(1+K11/$D$6)^($D$6*J11)</f>
        <v>0.9479735721690018</v>
      </c>
      <c r="N11">
        <f t="shared" ref="N11:N15" si="6">L11*M11</f>
        <v>2.3699339304225044</v>
      </c>
    </row>
    <row r="12" spans="3:14" x14ac:dyDescent="0.2">
      <c r="C12">
        <v>1.5</v>
      </c>
      <c r="D12" s="2">
        <v>4.8899999999999999E-2</v>
      </c>
      <c r="E12">
        <f t="shared" si="0"/>
        <v>2.5</v>
      </c>
      <c r="F12" s="3">
        <f t="shared" si="1"/>
        <v>0.93009583511500216</v>
      </c>
      <c r="G12">
        <f t="shared" si="2"/>
        <v>2.3252395877875056</v>
      </c>
      <c r="J12">
        <v>1.5</v>
      </c>
      <c r="K12" s="2">
        <f t="shared" si="3"/>
        <v>5.4148707466995051E-2</v>
      </c>
      <c r="L12">
        <f t="shared" si="4"/>
        <v>2.5</v>
      </c>
      <c r="M12" s="3">
        <f t="shared" si="5"/>
        <v>0.92298436692829688</v>
      </c>
      <c r="N12">
        <f t="shared" si="6"/>
        <v>2.3074609173207423</v>
      </c>
    </row>
    <row r="13" spans="3:14" x14ac:dyDescent="0.2">
      <c r="C13">
        <v>2</v>
      </c>
      <c r="D13" s="2">
        <v>5.0099999999999999E-2</v>
      </c>
      <c r="E13">
        <f t="shared" si="0"/>
        <v>2.5</v>
      </c>
      <c r="F13" s="3">
        <f t="shared" si="1"/>
        <v>0.9057738954975515</v>
      </c>
      <c r="G13">
        <f t="shared" si="2"/>
        <v>2.2644347387438786</v>
      </c>
      <c r="J13">
        <v>2</v>
      </c>
      <c r="K13" s="2">
        <f t="shared" si="3"/>
        <v>5.4148707466995051E-2</v>
      </c>
      <c r="L13">
        <f t="shared" si="4"/>
        <v>2.5</v>
      </c>
      <c r="M13" s="3">
        <f t="shared" si="5"/>
        <v>0.89865389353085778</v>
      </c>
      <c r="N13">
        <f t="shared" si="6"/>
        <v>2.2466347338271446</v>
      </c>
    </row>
    <row r="14" spans="3:14" x14ac:dyDescent="0.2">
      <c r="C14">
        <v>2.5</v>
      </c>
      <c r="D14" s="2">
        <v>5.3699999999999998E-2</v>
      </c>
      <c r="E14">
        <f t="shared" si="0"/>
        <v>2.5</v>
      </c>
      <c r="F14" s="3">
        <f t="shared" si="1"/>
        <v>0.87592104882473243</v>
      </c>
      <c r="G14">
        <f t="shared" si="2"/>
        <v>2.1898026220618312</v>
      </c>
      <c r="J14">
        <v>2.5</v>
      </c>
      <c r="K14" s="2">
        <f t="shared" si="3"/>
        <v>5.4148707466995051E-2</v>
      </c>
      <c r="L14">
        <f t="shared" si="4"/>
        <v>2.5</v>
      </c>
      <c r="M14" s="3">
        <f t="shared" si="5"/>
        <v>0.8749647873731623</v>
      </c>
      <c r="N14">
        <f t="shared" si="6"/>
        <v>2.1874119684329059</v>
      </c>
    </row>
    <row r="15" spans="3:14" x14ac:dyDescent="0.2">
      <c r="C15">
        <v>3</v>
      </c>
      <c r="D15" s="2">
        <v>5.4399999999999997E-2</v>
      </c>
      <c r="E15">
        <f>$D$4/$D$5*$D$2+$D$2</f>
        <v>102.5</v>
      </c>
      <c r="F15" s="3">
        <f t="shared" si="1"/>
        <v>0.85127511037009362</v>
      </c>
      <c r="G15">
        <f t="shared" si="2"/>
        <v>87.255698812934597</v>
      </c>
      <c r="J15">
        <v>3</v>
      </c>
      <c r="K15" s="2">
        <f t="shared" si="3"/>
        <v>5.4148707466995051E-2</v>
      </c>
      <c r="L15">
        <f>$D$4/$D$5*$D$2+$D$2</f>
        <v>102.5</v>
      </c>
      <c r="M15" s="3">
        <f t="shared" si="5"/>
        <v>0.85190014159402905</v>
      </c>
      <c r="N15">
        <f t="shared" si="6"/>
        <v>87.31976451338798</v>
      </c>
    </row>
    <row r="16" spans="3:14" x14ac:dyDescent="0.2">
      <c r="F16" t="s">
        <v>14</v>
      </c>
      <c r="G16">
        <f>SUM(G10:G15)</f>
        <v>98.865262832672357</v>
      </c>
      <c r="M16" t="s">
        <v>14</v>
      </c>
      <c r="N16">
        <f>SUM(N10:N15)</f>
        <v>98.865304423371057</v>
      </c>
    </row>
    <row r="18" spans="3:14" x14ac:dyDescent="0.2">
      <c r="C18" t="s">
        <v>15</v>
      </c>
      <c r="M18" t="s">
        <v>19</v>
      </c>
      <c r="N18">
        <f>N16-G16</f>
        <v>4.1590698700133544E-5</v>
      </c>
    </row>
    <row r="19" spans="3:14" x14ac:dyDescent="0.2">
      <c r="C19" t="s">
        <v>7</v>
      </c>
      <c r="D19" t="s">
        <v>8</v>
      </c>
      <c r="E19" t="s">
        <v>11</v>
      </c>
      <c r="F19" t="s">
        <v>9</v>
      </c>
      <c r="G19" t="s">
        <v>12</v>
      </c>
    </row>
    <row r="20" spans="3:14" x14ac:dyDescent="0.2">
      <c r="C20">
        <v>0.5</v>
      </c>
      <c r="D20" s="2">
        <v>4.5600000000000002E-2</v>
      </c>
      <c r="E20">
        <f>$D$4/$D$5*$D$2</f>
        <v>2.5</v>
      </c>
      <c r="F20" s="3">
        <f>EXP(-D20*C20)</f>
        <v>0.97745795581658446</v>
      </c>
      <c r="G20">
        <f>E20*F20</f>
        <v>2.4436448895414613</v>
      </c>
    </row>
    <row r="21" spans="3:14" x14ac:dyDescent="0.2">
      <c r="C21">
        <v>1</v>
      </c>
      <c r="D21" s="2">
        <v>4.7300000000000002E-2</v>
      </c>
      <c r="E21">
        <f t="shared" ref="E21:E25" si="7">$D$4/$D$5*$D$2</f>
        <v>2.5</v>
      </c>
      <c r="F21" s="3">
        <f t="shared" ref="F21:F25" si="8">EXP(-D21*C21)</f>
        <v>0.95380121430073384</v>
      </c>
      <c r="G21">
        <f t="shared" ref="G21:G25" si="9">E21*F21</f>
        <v>2.3845030357518344</v>
      </c>
    </row>
    <row r="22" spans="3:14" x14ac:dyDescent="0.2">
      <c r="C22">
        <v>1.5</v>
      </c>
      <c r="D22" s="2">
        <v>4.8899999999999999E-2</v>
      </c>
      <c r="E22">
        <f t="shared" si="7"/>
        <v>2.5</v>
      </c>
      <c r="F22" s="3">
        <f t="shared" si="8"/>
        <v>0.92927552666669233</v>
      </c>
      <c r="G22">
        <f t="shared" si="9"/>
        <v>2.3231888166667307</v>
      </c>
    </row>
    <row r="23" spans="3:14" x14ac:dyDescent="0.2">
      <c r="C23">
        <v>2</v>
      </c>
      <c r="D23" s="2">
        <v>5.0099999999999999E-2</v>
      </c>
      <c r="E23">
        <f t="shared" si="7"/>
        <v>2.5</v>
      </c>
      <c r="F23" s="3">
        <f t="shared" si="8"/>
        <v>0.9046564686478944</v>
      </c>
      <c r="G23">
        <f t="shared" si="9"/>
        <v>2.2616411716197362</v>
      </c>
    </row>
    <row r="24" spans="3:14" x14ac:dyDescent="0.2">
      <c r="C24">
        <v>2.5</v>
      </c>
      <c r="D24" s="2">
        <v>5.3699999999999998E-2</v>
      </c>
      <c r="E24">
        <f t="shared" si="7"/>
        <v>2.5</v>
      </c>
      <c r="F24" s="3">
        <f t="shared" si="8"/>
        <v>0.87437144441584536</v>
      </c>
      <c r="G24">
        <f t="shared" si="9"/>
        <v>2.1859286110396132</v>
      </c>
    </row>
    <row r="25" spans="3:14" x14ac:dyDescent="0.2">
      <c r="C25">
        <v>3</v>
      </c>
      <c r="D25" s="2">
        <v>5.4399999999999997E-2</v>
      </c>
      <c r="E25">
        <f>$D$4/$D$5*$D$2+D2</f>
        <v>102.5</v>
      </c>
      <c r="F25" s="3">
        <f t="shared" si="8"/>
        <v>0.84942128716759835</v>
      </c>
      <c r="G25">
        <f t="shared" si="9"/>
        <v>87.065681934678835</v>
      </c>
    </row>
    <row r="26" spans="3:14" x14ac:dyDescent="0.2">
      <c r="F26" t="s">
        <v>14</v>
      </c>
      <c r="G26">
        <f>SUM(G20:G25)</f>
        <v>98.664588459298216</v>
      </c>
    </row>
    <row r="28" spans="3:14" x14ac:dyDescent="0.2">
      <c r="C28" t="s">
        <v>16</v>
      </c>
    </row>
    <row r="29" spans="3:14" x14ac:dyDescent="0.2">
      <c r="C29" t="s">
        <v>7</v>
      </c>
      <c r="D29" t="s">
        <v>8</v>
      </c>
      <c r="E29" t="s">
        <v>11</v>
      </c>
      <c r="F29" t="s">
        <v>9</v>
      </c>
      <c r="G29" t="s">
        <v>12</v>
      </c>
    </row>
    <row r="30" spans="3:14" x14ac:dyDescent="0.2">
      <c r="C30">
        <v>0.5</v>
      </c>
      <c r="D30" s="2">
        <f>$D$6*LN(1+D10/$D$6)</f>
        <v>4.5087928869788872E-2</v>
      </c>
      <c r="E30">
        <f>$D$4/$D$5*$D$2</f>
        <v>2.5</v>
      </c>
      <c r="F30" s="3">
        <f>EXP(-D30*C30)</f>
        <v>0.97770825185764576</v>
      </c>
      <c r="G30">
        <f>E30*F30</f>
        <v>2.4442706296441146</v>
      </c>
    </row>
    <row r="31" spans="3:14" x14ac:dyDescent="0.2">
      <c r="C31">
        <v>1</v>
      </c>
      <c r="D31" s="2">
        <f t="shared" ref="D31:D35" si="10">$D$6*LN(1+D11/$D$6)</f>
        <v>4.6749342632901092E-2</v>
      </c>
      <c r="E31">
        <f t="shared" ref="E31:E35" si="11">$D$4/$D$5*$D$2</f>
        <v>2.5</v>
      </c>
      <c r="F31" s="3">
        <f t="shared" ref="F31:F35" si="12">EXP(-D31*C31)</f>
        <v>0.95432657660017151</v>
      </c>
      <c r="G31">
        <f t="shared" ref="G31:G35" si="13">E31*F31</f>
        <v>2.3858164415004288</v>
      </c>
    </row>
    <row r="32" spans="3:14" x14ac:dyDescent="0.2">
      <c r="C32">
        <v>1.5</v>
      </c>
      <c r="D32" s="2">
        <f t="shared" si="10"/>
        <v>4.8311766422142376E-2</v>
      </c>
      <c r="E32">
        <f t="shared" si="11"/>
        <v>2.5</v>
      </c>
      <c r="F32" s="3">
        <f t="shared" si="12"/>
        <v>0.93009583511500205</v>
      </c>
      <c r="G32">
        <f t="shared" si="13"/>
        <v>2.3252395877875052</v>
      </c>
    </row>
    <row r="33" spans="3:7" x14ac:dyDescent="0.2">
      <c r="C33">
        <v>2</v>
      </c>
      <c r="D33" s="2">
        <f t="shared" si="10"/>
        <v>4.9482783776894183E-2</v>
      </c>
      <c r="E33">
        <f t="shared" si="11"/>
        <v>2.5</v>
      </c>
      <c r="F33" s="3">
        <f t="shared" si="12"/>
        <v>0.9057738954975515</v>
      </c>
      <c r="G33">
        <f t="shared" si="13"/>
        <v>2.2644347387438786</v>
      </c>
    </row>
    <row r="34" spans="3:7" x14ac:dyDescent="0.2">
      <c r="C34">
        <v>2.5</v>
      </c>
      <c r="D34" s="2">
        <f t="shared" si="10"/>
        <v>5.2991727607930306E-2</v>
      </c>
      <c r="E34">
        <f t="shared" si="11"/>
        <v>2.5</v>
      </c>
      <c r="F34" s="3">
        <f t="shared" si="12"/>
        <v>0.87592104882473243</v>
      </c>
      <c r="G34">
        <f t="shared" si="13"/>
        <v>2.1898026220618312</v>
      </c>
    </row>
    <row r="35" spans="3:7" x14ac:dyDescent="0.2">
      <c r="C35">
        <v>3</v>
      </c>
      <c r="D35" s="2">
        <f t="shared" si="10"/>
        <v>5.367330790711914E-2</v>
      </c>
      <c r="E35">
        <f>$D$4/$D$5*$D$2+D2</f>
        <v>102.5</v>
      </c>
      <c r="F35" s="3">
        <f t="shared" si="12"/>
        <v>0.85127511037009362</v>
      </c>
      <c r="G35">
        <f t="shared" si="13"/>
        <v>87.255698812934597</v>
      </c>
    </row>
    <row r="36" spans="3:7" x14ac:dyDescent="0.2">
      <c r="F36" t="s">
        <v>14</v>
      </c>
      <c r="G36">
        <f>SUM(G30:G35)</f>
        <v>98.865262832672357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 Schneider</dc:creator>
  <cp:lastModifiedBy>DIEGO CORDOBA URRUTIA</cp:lastModifiedBy>
  <dcterms:created xsi:type="dcterms:W3CDTF">2025-08-21T17:29:11Z</dcterms:created>
  <dcterms:modified xsi:type="dcterms:W3CDTF">2026-01-23T15:56:02Z</dcterms:modified>
</cp:coreProperties>
</file>