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ones\Downloads\"/>
    </mc:Choice>
  </mc:AlternateContent>
  <xr:revisionPtr revIDLastSave="0" documentId="13_ncr:1_{B5EA9B1A-15C8-4B93-AAB2-9E8B6C2B6F51}" xr6:coauthVersionLast="47" xr6:coauthVersionMax="47" xr10:uidLastSave="{00000000-0000-0000-0000-000000000000}"/>
  <bookViews>
    <workbookView xWindow="-120" yWindow="-120" windowWidth="29040" windowHeight="15720" xr2:uid="{C5665286-FD7E-45EE-B239-F6EE0CE14A86}"/>
  </bookViews>
  <sheets>
    <sheet name="Deducciones" sheetId="2" r:id="rId1"/>
    <sheet name="AAXI " sheetId="1" r:id="rId2"/>
    <sheet name="Inversiones" sheetId="3" r:id="rId3"/>
    <sheet name="Pagos provisionales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</externalReferences>
  <definedNames>
    <definedName name="\a">#REF!</definedName>
    <definedName name="\b">[1]NOMINAS!$B$94:$B$96</definedName>
    <definedName name="\c">#N/A</definedName>
    <definedName name="\d">#N/A</definedName>
    <definedName name="\e">#N/A</definedName>
    <definedName name="\h">[2]INVERGPO!$A$278</definedName>
    <definedName name="\i">#N/A</definedName>
    <definedName name="\j">#N/A</definedName>
    <definedName name="\p">#REF!</definedName>
    <definedName name="\s">[3]PROBAN!#REF!</definedName>
    <definedName name="\Z">#REF!</definedName>
    <definedName name="___________________________TC1">'[4]ML 51-52190'!#REF!</definedName>
    <definedName name="___________________________tc2">'[4]ML 51-52190'!#REF!</definedName>
    <definedName name="___________________________TC3">'[4]ML 51-52190'!#REF!</definedName>
    <definedName name="________________________ART178">[5]TABLAS!#REF!</definedName>
    <definedName name="_______________________TC1">'[4]ML 51-52190'!#REF!</definedName>
    <definedName name="_______________________tc2">'[4]ML 51-52190'!#REF!</definedName>
    <definedName name="_______________________TC3">'[4]ML 51-52190'!#REF!</definedName>
    <definedName name="______________________TC1">'[4]ML 51-52190'!#REF!</definedName>
    <definedName name="______________________tc2">'[4]ML 51-52190'!#REF!</definedName>
    <definedName name="______________________TC3">'[4]ML 51-52190'!#REF!</definedName>
    <definedName name="_____________________ART178">[5]TABLAS!#REF!</definedName>
    <definedName name="____________________ART178">[5]TABLAS!#REF!</definedName>
    <definedName name="___________________TC1">'[4]ML 51-52190'!#REF!</definedName>
    <definedName name="___________________TC11">'[6] DB INTL LTD 02JDA340467'!$B$243:$N$274</definedName>
    <definedName name="___________________tc2">'[4]ML 51-52190'!#REF!</definedName>
    <definedName name="___________________TC3">'[4]ML 51-52190'!#REF!</definedName>
    <definedName name="__________________ART178">[5]TABLAS!#REF!</definedName>
    <definedName name="__________________TC11">'[6] DB INTL LTD 02JDA340467'!$B$243:$N$274</definedName>
    <definedName name="__________________tc2010">'[7]2010'!$A$8:$N$38</definedName>
    <definedName name="_________________ART178">#REF!</definedName>
    <definedName name="_________________TC11">'[6] DB INTL LTD 02JDA340467'!$B$243:$N$274</definedName>
    <definedName name="_________________TC2">'[8]TC USD 07'!$B$3:$N$34</definedName>
    <definedName name="_________________tc2010">'[7]2010'!$A$8:$N$38</definedName>
    <definedName name="________________ART178">[5]TABLAS!#REF!</definedName>
    <definedName name="________________TC1">'[4]ML 51-52190'!#REF!</definedName>
    <definedName name="________________TC11">'[6] DB INTL LTD 02JDA340467'!$B$243:$N$274</definedName>
    <definedName name="________________tc2">'[4]ML 51-52190'!#REF!</definedName>
    <definedName name="________________tc2010">#REF!</definedName>
    <definedName name="________________TC3">'[4]ML 51-52190'!#REF!</definedName>
    <definedName name="_______________ART178">[5]TABLAS!#REF!</definedName>
    <definedName name="_______________TC1">'[4]ML 51-52190'!#REF!</definedName>
    <definedName name="_______________TC11">'[6] DB INTL LTD 02JDA340467'!$B$243:$N$274</definedName>
    <definedName name="_______________tc2">'[4]ML 51-52190'!#REF!</definedName>
    <definedName name="_______________TC3">'[4]ML 51-52190'!#REF!</definedName>
    <definedName name="______________ART178">[5]TABLAS!#REF!</definedName>
    <definedName name="______________TC1">'[4]ML 51-52190'!#REF!</definedName>
    <definedName name="______________TC11">'[6] DB INTL LTD 02JDA340467'!$B$243:$N$274</definedName>
    <definedName name="______________tc2">'[4]ML 51-52190'!#REF!</definedName>
    <definedName name="______________tc2010">'[7]2010'!$A$8:$N$38</definedName>
    <definedName name="______________TC3">'[4]ML 51-52190'!#REF!</definedName>
    <definedName name="______________USD10">'[9]2010'!$A$7:$M$38</definedName>
    <definedName name="_____________ART178">[5]TABLAS!#REF!</definedName>
    <definedName name="_____________TC1">'[10]Ajuste x inflación'!#REF!</definedName>
    <definedName name="_____________TC11">'[6] DB INTL LTD 02JDA340467'!$B$243:$N$274</definedName>
    <definedName name="_____________TC2">'[10]Ajuste x inflación'!#REF!</definedName>
    <definedName name="_____________tc2010">'[11]2010'!$A$8:$N$38</definedName>
    <definedName name="_____________TC3">'[10]Ajuste x inflación'!#REF!</definedName>
    <definedName name="_____________USD10">'[9]2010'!$A$7:$M$38</definedName>
    <definedName name="____________ART178">[5]TABLAS!#REF!</definedName>
    <definedName name="____________TC1">'[4]ML 51-52190'!#REF!</definedName>
    <definedName name="____________TC11">'[6] DB INTL LTD 02JDA340467'!$B$243:$N$274</definedName>
    <definedName name="____________tc2">'[4]ML 51-52190'!#REF!</definedName>
    <definedName name="____________tc2010">'[7]2010'!$A$8:$N$38</definedName>
    <definedName name="____________TC3">'[4]ML 51-52190'!#REF!</definedName>
    <definedName name="____________USD10">'[9]2010'!$A$7:$M$38</definedName>
    <definedName name="___________ART178">[5]TABLAS!#REF!</definedName>
    <definedName name="___________TC1">'[4]ML 51-52190'!#REF!</definedName>
    <definedName name="___________TC11">'[6] DB INTL LTD 02JDA340467'!$B$243:$N$274</definedName>
    <definedName name="___________tc2">'[4]ML 51-52190'!#REF!</definedName>
    <definedName name="___________tc2010">'[11]2010'!$A$8:$N$38</definedName>
    <definedName name="___________TC3">'[4]ML 51-52190'!#REF!</definedName>
    <definedName name="___________USD10">'[9]2010'!$A$7:$M$38</definedName>
    <definedName name="__________ART178">[5]TABLAS!#REF!</definedName>
    <definedName name="__________TC1">'[4]ML 51-52190'!#REF!</definedName>
    <definedName name="__________TC11">'[6] DB INTL LTD 02JDA340467'!$B$243:$N$274</definedName>
    <definedName name="__________tc2">'[4]ML 51-52190'!#REF!</definedName>
    <definedName name="__________tc2010">'[11]2010'!$A$8:$N$38</definedName>
    <definedName name="__________TC3">'[4]ML 51-52190'!#REF!</definedName>
    <definedName name="__________USD10">'[9]2010'!$A$7:$M$38</definedName>
    <definedName name="_________ACT2">'[12]A COSTO FISCAL'!#REF!</definedName>
    <definedName name="_________ACT3">'[12]A COSTO FISCAL'!#REF!</definedName>
    <definedName name="_________ART178">[5]TABLAS!#REF!</definedName>
    <definedName name="_________f">#REF!</definedName>
    <definedName name="_________TC07">[13]TC07!$A$11:$N$41</definedName>
    <definedName name="_________TC09">#REF!</definedName>
    <definedName name="_________TC1">'[4]ML 51-52190'!#REF!</definedName>
    <definedName name="_________TC11">'[6] DB INTL LTD 02JDA340467'!$B$243:$N$274</definedName>
    <definedName name="_________tc2">'[4]ML 51-52190'!#REF!</definedName>
    <definedName name="_________TC2005">'[14]2005'!$B$41:$N$42</definedName>
    <definedName name="_________tc2010">'[11]2010'!$A$8:$N$38</definedName>
    <definedName name="_________TC3">'[4]ML 51-52190'!#REF!</definedName>
    <definedName name="_________USD10">#REF!</definedName>
    <definedName name="________ACT2">'[12]A COSTO FISCAL'!#REF!</definedName>
    <definedName name="________ACT3">'[12]A COSTO FISCAL'!#REF!</definedName>
    <definedName name="________ART178">[5]TABLAS!#REF!</definedName>
    <definedName name="________f">#REF!</definedName>
    <definedName name="________ISR141">[15]ISR06!$F$47</definedName>
    <definedName name="________TC07">[13]TC07!$A$11:$N$41</definedName>
    <definedName name="________TC09">#REF!</definedName>
    <definedName name="________TC1">'[4]ML 51-52190'!#REF!</definedName>
    <definedName name="________TC11">'[6] DB INTL LTD 02JDA340467'!$B$243:$N$274</definedName>
    <definedName name="________tc2">'[4]ML 51-52190'!#REF!</definedName>
    <definedName name="________TC2005">'[14]2005'!$B$41:$N$42</definedName>
    <definedName name="________tc2010">'[7]2010'!$A$8:$N$38</definedName>
    <definedName name="________TC3">'[4]ML 51-52190'!#REF!</definedName>
    <definedName name="________USD10">#REF!</definedName>
    <definedName name="_______ACT2">'[12]A COSTO FISCAL'!#REF!</definedName>
    <definedName name="_______ACT3">'[12]A COSTO FISCAL'!#REF!</definedName>
    <definedName name="_______ART178">[5]TABLAS!#REF!</definedName>
    <definedName name="_______DAT1">#REF!</definedName>
    <definedName name="_______DAT21">#REF!</definedName>
    <definedName name="_______f">#REF!</definedName>
    <definedName name="_______ISR141">[15]ISR06!$F$47</definedName>
    <definedName name="_______TC07">[13]TC07!$A$11:$N$41</definedName>
    <definedName name="_______TC09">#REF!</definedName>
    <definedName name="_______TC1">'[4]ML 51-52190'!#REF!</definedName>
    <definedName name="_______TC11">'[6] DB INTL LTD 02JDA340467'!$B$243:$N$274</definedName>
    <definedName name="_______tc2">'[4]ML 51-52190'!#REF!</definedName>
    <definedName name="_______TC2005">'[14]2005'!$B$41:$N$42</definedName>
    <definedName name="_______tc2010">'[11]2010'!$A$8:$N$38</definedName>
    <definedName name="_______TC3">'[4]ML 51-52190'!#REF!</definedName>
    <definedName name="_______USD10">'[9]2010'!$A$7:$M$38</definedName>
    <definedName name="______ABR113">'[16]P.P. ISR'!#REF!</definedName>
    <definedName name="______ABR114">'[16]P.P. ISR'!#REF!</definedName>
    <definedName name="______ACT2">'[12]A COSTO FISCAL'!#REF!</definedName>
    <definedName name="______ACT3">'[12]A COSTO FISCAL'!#REF!</definedName>
    <definedName name="______AGO113">'[16]P.P. ISR'!#REF!</definedName>
    <definedName name="______AGO114">'[16]P.P. ISR'!#REF!</definedName>
    <definedName name="______ART178">[5]TABLAS!#REF!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3">#REF!</definedName>
    <definedName name="______DAT4">#REF!</definedName>
    <definedName name="______DAT6">#REF!</definedName>
    <definedName name="______DAT7">#REF!</definedName>
    <definedName name="______DAT8">#REF!</definedName>
    <definedName name="______DAT9">#REF!</definedName>
    <definedName name="______DIC113">'[16]P.P. ISR'!#REF!</definedName>
    <definedName name="______DIC114">'[16]P.P. ISR'!#REF!</definedName>
    <definedName name="______f">#REF!</definedName>
    <definedName name="______FEB113">'[16]P.P. ISR'!#REF!</definedName>
    <definedName name="______FEB114">'[16]P.P. ISR'!#REF!</definedName>
    <definedName name="______ISR141">[15]ISR06!$F$47</definedName>
    <definedName name="______JUL113">'[16]P.P. ISR'!#REF!</definedName>
    <definedName name="______JUL114">'[16]P.P. ISR'!#REF!</definedName>
    <definedName name="______JUN113">'[16]P.P. ISR'!#REF!</definedName>
    <definedName name="______JUN114">'[16]P.P. ISR'!#REF!</definedName>
    <definedName name="______MAR113">'[16]P.P. ISR'!#REF!</definedName>
    <definedName name="______MAR114">'[16]P.P. ISR'!#REF!</definedName>
    <definedName name="______MAY113">'[16]P.P. ISR'!#REF!</definedName>
    <definedName name="______MAY114">'[16]P.P. ISR'!#REF!</definedName>
    <definedName name="______MES1">#REF!</definedName>
    <definedName name="______NOV113">'[16]P.P. ISR'!#REF!</definedName>
    <definedName name="______NOV114">'[16]P.P. ISR'!#REF!</definedName>
    <definedName name="______OCT113">'[16]P.P. ISR'!#REF!</definedName>
    <definedName name="______OCT114">'[16]P.P. ISR'!#REF!</definedName>
    <definedName name="______SEP113">'[16]P.P. ISR'!#REF!</definedName>
    <definedName name="______SEP114">'[16]P.P. ISR'!#REF!</definedName>
    <definedName name="______TC07">[13]TC07!$A$11:$N$41</definedName>
    <definedName name="______TC09">#REF!</definedName>
    <definedName name="______TC1">'[4]ML 51-52190'!#REF!</definedName>
    <definedName name="______TC11">'[6] DB INTL LTD 02JDA340467'!$B$243:$N$274</definedName>
    <definedName name="______tc2">'[4]ML 51-52190'!#REF!</definedName>
    <definedName name="______TC2005">'[14]2005'!$B$41:$N$42</definedName>
    <definedName name="______TC2009">'[17]TC2009.1'!$A$8:$M$38</definedName>
    <definedName name="______tc2010">'[11]2010'!$A$8:$N$38</definedName>
    <definedName name="______TC3">'[4]ML 51-52190'!#REF!</definedName>
    <definedName name="______USD10">'[9]2010'!$A$7:$M$38</definedName>
    <definedName name="_____ABR113">'[16]P.P. ISR'!#REF!</definedName>
    <definedName name="_____ABR114">'[16]P.P. ISR'!#REF!</definedName>
    <definedName name="_____ACT2">'[12]A COSTO FISCAL'!#REF!</definedName>
    <definedName name="_____ACT3">'[12]A COSTO FISCAL'!#REF!</definedName>
    <definedName name="_____AGO113">'[16]P.P. ISR'!#REF!</definedName>
    <definedName name="_____AGO114">'[16]P.P. ISR'!#REF!</definedName>
    <definedName name="_____ART177">#REF!</definedName>
    <definedName name="_____ART178">[5]TABLAS!#REF!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C113">'[16]P.P. ISR'!#REF!</definedName>
    <definedName name="_____DIC114">'[16]P.P. ISR'!#REF!</definedName>
    <definedName name="_____f">#REF!</definedName>
    <definedName name="_____FEB113">'[16]P.P. ISR'!#REF!</definedName>
    <definedName name="_____FEB114">'[16]P.P. ISR'!#REF!</definedName>
    <definedName name="_____ISR141">[15]ISR06!$F$47</definedName>
    <definedName name="_____JUL113">'[16]P.P. ISR'!#REF!</definedName>
    <definedName name="_____JUL114">'[16]P.P. ISR'!#REF!</definedName>
    <definedName name="_____JUN113">'[16]P.P. ISR'!#REF!</definedName>
    <definedName name="_____JUN114">'[16]P.P. ISR'!#REF!</definedName>
    <definedName name="_____MAR113">'[16]P.P. ISR'!#REF!</definedName>
    <definedName name="_____MAR114">'[16]P.P. ISR'!#REF!</definedName>
    <definedName name="_____MAY113">'[16]P.P. ISR'!#REF!</definedName>
    <definedName name="_____MAY114">'[16]P.P. ISR'!#REF!</definedName>
    <definedName name="_____MES1">#REF!</definedName>
    <definedName name="_____NOV113">'[16]P.P. ISR'!#REF!</definedName>
    <definedName name="_____NOV114">'[16]P.P. ISR'!#REF!</definedName>
    <definedName name="_____OCT113">'[16]P.P. ISR'!#REF!</definedName>
    <definedName name="_____OCT114">'[16]P.P. ISR'!#REF!</definedName>
    <definedName name="_____SEP113">'[16]P.P. ISR'!#REF!</definedName>
    <definedName name="_____SEP114">'[16]P.P. ISR'!#REF!</definedName>
    <definedName name="_____TC07">[13]TC07!$A$11:$N$41</definedName>
    <definedName name="_____TC09">#REF!</definedName>
    <definedName name="_____TC1">'[4]ML 51-52190'!#REF!</definedName>
    <definedName name="_____TC11">'[6] DB INTL LTD 02JDA340467'!$B$243:$N$274</definedName>
    <definedName name="_____tc2">'[4]ML 51-52190'!#REF!</definedName>
    <definedName name="_____TC2005">'[14]2005'!$B$41:$N$42</definedName>
    <definedName name="_____TC2009">'[17]TC2009.1'!$A$8:$M$38</definedName>
    <definedName name="_____tc2010">'[11]2010'!$A$8:$N$38</definedName>
    <definedName name="_____TC3">'[4]ML 51-52190'!#REF!</definedName>
    <definedName name="_____USD10">'[9]2010'!$A$7:$M$38</definedName>
    <definedName name="____ABR113">'[16]P.P. ISR'!#REF!</definedName>
    <definedName name="____ABR114">'[16]P.P. ISR'!#REF!</definedName>
    <definedName name="____ACT2">'[12]A COSTO FISCAL'!#REF!</definedName>
    <definedName name="____ACT3">'[12]A COSTO FISCAL'!#REF!</definedName>
    <definedName name="____AGO113">'[16]P.P. ISR'!#REF!</definedName>
    <definedName name="____AGO114">'[16]P.P. ISR'!#REF!</definedName>
    <definedName name="____ART177">#REF!</definedName>
    <definedName name="____ART178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C113">'[16]P.P. ISR'!#REF!</definedName>
    <definedName name="____DIC114">'[16]P.P. ISR'!#REF!</definedName>
    <definedName name="____f">#REF!</definedName>
    <definedName name="____FEB113">'[16]P.P. ISR'!#REF!</definedName>
    <definedName name="____FEB114">'[16]P.P. ISR'!#REF!</definedName>
    <definedName name="____ISR141">[15]ISR06!$F$47</definedName>
    <definedName name="____JUL113">'[16]P.P. ISR'!#REF!</definedName>
    <definedName name="____JUL114">'[16]P.P. ISR'!#REF!</definedName>
    <definedName name="____JUN113">'[16]P.P. ISR'!#REF!</definedName>
    <definedName name="____JUN114">'[16]P.P. ISR'!#REF!</definedName>
    <definedName name="____MAR113">'[16]P.P. ISR'!#REF!</definedName>
    <definedName name="____MAR114">'[16]P.P. ISR'!#REF!</definedName>
    <definedName name="____MAY113">'[16]P.P. ISR'!#REF!</definedName>
    <definedName name="____MAY114">'[16]P.P. ISR'!#REF!</definedName>
    <definedName name="____MES1">#REF!</definedName>
    <definedName name="____NOV113">'[16]P.P. ISR'!#REF!</definedName>
    <definedName name="____NOV114">'[16]P.P. ISR'!#REF!</definedName>
    <definedName name="____OCT113">'[16]P.P. ISR'!#REF!</definedName>
    <definedName name="____OCT114">'[16]P.P. ISR'!#REF!</definedName>
    <definedName name="____SEP113">'[16]P.P. ISR'!#REF!</definedName>
    <definedName name="____SEP114">'[16]P.P. ISR'!#REF!</definedName>
    <definedName name="____tc06">#REF!</definedName>
    <definedName name="____TC07">[13]TC07!$A$11:$N$41</definedName>
    <definedName name="____TC09">#REF!</definedName>
    <definedName name="____TC1">'[4]ML 51-52190'!#REF!</definedName>
    <definedName name="____TC11">'[6] DB INTL LTD 02JDA340467'!$B$243:$N$274</definedName>
    <definedName name="____TC2">'[8]TC USD 07'!$B$3:$N$34</definedName>
    <definedName name="____TC2005">'[14]2005'!$B$41:$N$42</definedName>
    <definedName name="____TC2009">'[17]TC2009.1'!$A$8:$M$38</definedName>
    <definedName name="____tc2010">'[7]2010'!$A$8:$N$38</definedName>
    <definedName name="____TC3">'[4]ML 51-52190'!#REF!</definedName>
    <definedName name="____USD10">'[18]2010'!$A$7:$M$38</definedName>
    <definedName name="___ABR113">'[16]P.P. ISR'!#REF!</definedName>
    <definedName name="___ABR114">'[16]P.P. ISR'!#REF!</definedName>
    <definedName name="___ACT2">'[12]A COSTO FISCAL'!#REF!</definedName>
    <definedName name="___ACT3">'[12]A COSTO FISCAL'!#REF!</definedName>
    <definedName name="___AGO113">'[16]P.P. ISR'!#REF!</definedName>
    <definedName name="___AGO114">'[16]P.P. ISR'!#REF!</definedName>
    <definedName name="___ART177">#REF!</definedName>
    <definedName name="___ART17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a1">#REF!</definedName>
    <definedName name="___DIC113">'[16]P.P. ISR'!#REF!</definedName>
    <definedName name="___DIC114">'[16]P.P. ISR'!#REF!</definedName>
    <definedName name="___f">#REF!</definedName>
    <definedName name="___FEB113">'[16]P.P. ISR'!#REF!</definedName>
    <definedName name="___FEB114">'[16]P.P. ISR'!#REF!</definedName>
    <definedName name="___ISR141">[15]ISR06!$F$47</definedName>
    <definedName name="___JUL113">'[16]P.P. ISR'!#REF!</definedName>
    <definedName name="___JUL114">'[16]P.P. ISR'!#REF!</definedName>
    <definedName name="___JUN113">'[16]P.P. ISR'!#REF!</definedName>
    <definedName name="___JUN114">'[16]P.P. ISR'!#REF!</definedName>
    <definedName name="___MAR113">'[16]P.P. ISR'!#REF!</definedName>
    <definedName name="___MAR114">'[16]P.P. ISR'!#REF!</definedName>
    <definedName name="___MAY113">'[16]P.P. ISR'!#REF!</definedName>
    <definedName name="___MAY114">'[16]P.P. ISR'!#REF!</definedName>
    <definedName name="___MES1">#REF!</definedName>
    <definedName name="___mes2">#REF!</definedName>
    <definedName name="___NOV113">'[16]P.P. ISR'!#REF!</definedName>
    <definedName name="___NOV114">'[16]P.P. ISR'!#REF!</definedName>
    <definedName name="___OCT113">'[16]P.P. ISR'!#REF!</definedName>
    <definedName name="___OCT114">'[16]P.P. ISR'!#REF!</definedName>
    <definedName name="___SEP113">'[16]P.P. ISR'!#REF!</definedName>
    <definedName name="___SEP114">'[16]P.P. ISR'!#REF!</definedName>
    <definedName name="___TC05">#REF!</definedName>
    <definedName name="___tc06">#REF!</definedName>
    <definedName name="___TC07">[13]TC07!$A$11:$N$41</definedName>
    <definedName name="___TC09">#REF!</definedName>
    <definedName name="___TC1">'[4]ML 51-52190'!#REF!</definedName>
    <definedName name="___TC11">'[6] DB INTL LTD 02JDA340467'!$B$243:$N$274</definedName>
    <definedName name="___TC2">'[8]TC USD 07'!$B$3:$N$34</definedName>
    <definedName name="___TC2005">'[14]2005'!$B$41:$N$42</definedName>
    <definedName name="___TC2009">'[17]TC2009.1'!$A$8:$M$38</definedName>
    <definedName name="___tc2010">'[11]2010'!$A$8:$N$38</definedName>
    <definedName name="___TC3">'[4]ML 51-52190'!#REF!</definedName>
    <definedName name="___USD10">'[9]2010'!$A$7:$M$38</definedName>
    <definedName name="__1_1">#REF!</definedName>
    <definedName name="__123Graph_A" hidden="1">[19]DEPN!#REF!</definedName>
    <definedName name="__123Graph_B" hidden="1">[20]A!#REF!</definedName>
    <definedName name="__123Graph_D" hidden="1">[20]A!#REF!</definedName>
    <definedName name="__123Graph_F" hidden="1">[20]A!#REF!</definedName>
    <definedName name="__123Graph_X" hidden="1">[20]A!#REF!</definedName>
    <definedName name="__ABR113">'[16]P.P. ISR'!#REF!</definedName>
    <definedName name="__ABR114">'[16]P.P. ISR'!#REF!</definedName>
    <definedName name="__ACT2">'[12]A COSTO FISCAL'!#REF!</definedName>
    <definedName name="__ACT3">'[12]A COSTO FISCAL'!#REF!</definedName>
    <definedName name="__AGO113">'[16]P.P. ISR'!#REF!</definedName>
    <definedName name="__AGO114">'[16]P.P. ISR'!#REF!</definedName>
    <definedName name="__ART177">#REF!</definedName>
    <definedName name="__ART178">#REF!</definedName>
    <definedName name="__b10">'[21]cedula movimientos'!$G$20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a1">#REF!</definedName>
    <definedName name="__DIC113">'[16]P.P. ISR'!#REF!</definedName>
    <definedName name="__DIC114">'[16]P.P. ISR'!#REF!</definedName>
    <definedName name="__f">#REF!</definedName>
    <definedName name="__FEB113">'[16]P.P. ISR'!#REF!</definedName>
    <definedName name="__FEB114">'[16]P.P. ISR'!#REF!</definedName>
    <definedName name="__gvh1">#REF!</definedName>
    <definedName name="__gvh2">#REF!</definedName>
    <definedName name="__ISR141">[15]ISR06!$F$47</definedName>
    <definedName name="__ISR30">#REF!</definedName>
    <definedName name="__ISS1">#REF!</definedName>
    <definedName name="__iss2">[22]NOMQN1!$B$2:$W$68</definedName>
    <definedName name="__JUL113">'[16]P.P. ISR'!#REF!</definedName>
    <definedName name="__JUL114">'[16]P.P. ISR'!#REF!</definedName>
    <definedName name="__JUN113">'[16]P.P. ISR'!#REF!</definedName>
    <definedName name="__JUN114">'[16]P.P. ISR'!#REF!</definedName>
    <definedName name="__LIQ1">#REF!</definedName>
    <definedName name="__LIQ2">#REF!</definedName>
    <definedName name="__ll2">#REF!</definedName>
    <definedName name="__MAR113">'[16]P.P. ISR'!#REF!</definedName>
    <definedName name="__MAR114">'[16]P.P. ISR'!#REF!</definedName>
    <definedName name="__MAY05">#REF!,#REF!,#REF!</definedName>
    <definedName name="__MAY113">'[16]P.P. ISR'!#REF!</definedName>
    <definedName name="__MAY114">'[16]P.P. ISR'!#REF!</definedName>
    <definedName name="__MB50097">[23]CALIFO96!$A$218:$L$246</definedName>
    <definedName name="__MES1">#REF!</definedName>
    <definedName name="__mes2">#REF!</definedName>
    <definedName name="__NOV113">'[16]P.P. ISR'!#REF!</definedName>
    <definedName name="__NOV114">'[16]P.P. ISR'!#REF!</definedName>
    <definedName name="__NY2">#REF!</definedName>
    <definedName name="__OCT113">'[16]P.P. ISR'!#REF!</definedName>
    <definedName name="__OCT114">'[16]P.P. ISR'!#REF!</definedName>
    <definedName name="__pag1">#REF!</definedName>
    <definedName name="__pag2">#REF!</definedName>
    <definedName name="__PP2">#REF!</definedName>
    <definedName name="__SEP113">'[16]P.P. ISR'!#REF!</definedName>
    <definedName name="__SEP114">'[16]P.P. ISR'!#REF!</definedName>
    <definedName name="__SUB30">#REF!</definedName>
    <definedName name="__TC05">#REF!</definedName>
    <definedName name="__TC06">#REF!</definedName>
    <definedName name="__TC07">[13]TC07!$A$11:$N$41</definedName>
    <definedName name="__TC09">#REF!</definedName>
    <definedName name="__TC1">'[4]ML 51-52190'!#REF!</definedName>
    <definedName name="__TC11">'[6] DB INTL LTD 02JDA340467'!$B$243:$N$274</definedName>
    <definedName name="__TC2">'[8]TC USD 07'!$B$3:$N$34</definedName>
    <definedName name="__TC2005">'[14]2005'!$B$41:$N$42</definedName>
    <definedName name="__TC2008">'[24]T.C. 2008'!$A$7:$M$38</definedName>
    <definedName name="__TC2009">'[17]TC2009.1'!$A$8:$M$38</definedName>
    <definedName name="__tc2010">'[7]2010'!$A$8:$N$38</definedName>
    <definedName name="__TC3">'[4]ML 51-52190'!#REF!</definedName>
    <definedName name="__USD10">'[18]2010'!$A$7:$M$38</definedName>
    <definedName name="__VAL1">#REF!</definedName>
    <definedName name="__VAL2">#REF!</definedName>
    <definedName name="_0">#REF!</definedName>
    <definedName name="_1">#REF!</definedName>
    <definedName name="_1_1">#REF!</definedName>
    <definedName name="_2">#REF!</definedName>
    <definedName name="_3">#REF!</definedName>
    <definedName name="_4">#REF!</definedName>
    <definedName name="_5">#REF!</definedName>
    <definedName name="_500">[23]CALIFO96!$A$28:$L$52</definedName>
    <definedName name="_500_1">[23]CALIFO96!$A$53:$L$79</definedName>
    <definedName name="_500_2">[23]CALIFO96!$A$80:$L$106</definedName>
    <definedName name="_500_3">[23]CALIFO96!$A$107:$L$136</definedName>
    <definedName name="_500_4">[23]CALIFO96!$A$137:$L$163</definedName>
    <definedName name="_500_5">[23]CALIFO96!$A$164:$L$190</definedName>
    <definedName name="_6">#REF!</definedName>
    <definedName name="_8">#REF!</definedName>
    <definedName name="_ABR113">'[16]P.P. ISR'!#REF!</definedName>
    <definedName name="_ABR114">'[16]P.P. ISR'!#REF!</definedName>
    <definedName name="_ACT2">'[12]A COSTO FISCAL'!#REF!</definedName>
    <definedName name="_ACT3">'[12]A COSTO FISCAL'!#REF!</definedName>
    <definedName name="_AGO113">'[16]P.P. ISR'!#REF!</definedName>
    <definedName name="_AGO114">'[16]P.P. ISR'!#REF!</definedName>
    <definedName name="_ART177">#REF!</definedName>
    <definedName name="_ART178">#REF!</definedName>
    <definedName name="_b10">'[21]cedula movimientos'!$G$20</definedName>
    <definedName name="_Bce1">'[25]RESUMEN PESOS'!#REF!</definedName>
    <definedName name="_Bce2">'[25]RESUMEN PESOS'!#REF!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'[26]OTROS ING'!#REF!</definedName>
    <definedName name="_DAT19">'[26]OTROS ING'!#REF!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a2">#REF!</definedName>
    <definedName name="_DIC113">'[16]P.P. ISR'!#REF!</definedName>
    <definedName name="_DIC114">'[16]P.P. ISR'!#REF!</definedName>
    <definedName name="_ecm1">[27]ECOMPM!#REF!</definedName>
    <definedName name="_ecm10">[27]ECOMPM!#REF!</definedName>
    <definedName name="_ecm11">[27]ECOMPM!#REF!</definedName>
    <definedName name="_ecm12">[27]ECOMPM!#REF!</definedName>
    <definedName name="_ecm2">[27]ECOMPM!#REF!</definedName>
    <definedName name="_ecm3">[27]ECOMPM!#REF!</definedName>
    <definedName name="_ecm4">[27]ECOMPM!#REF!</definedName>
    <definedName name="_ecm5">[27]ECOMPM!#REF!</definedName>
    <definedName name="_ecm6">[27]ECOMPM!#REF!</definedName>
    <definedName name="_ecm7">[27]ECOMPM!#REF!</definedName>
    <definedName name="_ecm8">[27]ECOMPM!#REF!</definedName>
    <definedName name="_ecm9">[27]ECOMPM!#REF!</definedName>
    <definedName name="_f">#REF!</definedName>
    <definedName name="_FEB113">'[16]P.P. ISR'!#REF!</definedName>
    <definedName name="_FEB114">'[16]P.P. ISR'!#REF!</definedName>
    <definedName name="_Fill" hidden="1">#REF!</definedName>
    <definedName name="_xlnm._FilterDatabase" hidden="1">#REF!</definedName>
    <definedName name="_gvh1">#REF!</definedName>
    <definedName name="_gvh2">#REF!</definedName>
    <definedName name="_INPC">'[28]INPC '!$A$3:$M$61</definedName>
    <definedName name="_ISR141">[15]ISR06!$F$47</definedName>
    <definedName name="_ISR30">#REF!</definedName>
    <definedName name="_ISS1">#REF!</definedName>
    <definedName name="_iss2">[22]NOMQN1!$B$2:$W$68</definedName>
    <definedName name="_JUL113">'[16]P.P. ISR'!#REF!</definedName>
    <definedName name="_JUL114">'[16]P.P. ISR'!#REF!</definedName>
    <definedName name="_JUN113">'[16]P.P. ISR'!#REF!</definedName>
    <definedName name="_JUN114">'[16]P.P. ISR'!#REF!</definedName>
    <definedName name="_Key1" hidden="1">#REF!</definedName>
    <definedName name="_Key2" hidden="1">#REF!</definedName>
    <definedName name="_LIQ1">#REF!</definedName>
    <definedName name="_LIQ2">#REF!</definedName>
    <definedName name="_ll2">#REF!</definedName>
    <definedName name="_MA05">#REF!,#REF!,#REF!</definedName>
    <definedName name="_MAR113">'[16]P.P. ISR'!#REF!</definedName>
    <definedName name="_MAR114">'[16]P.P. ISR'!#REF!</definedName>
    <definedName name="_MAY05">#REF!,#REF!,#REF!</definedName>
    <definedName name="_MAY113">'[16]P.P. ISR'!#REF!</definedName>
    <definedName name="_MAY114">'[16]P.P. ISR'!#REF!</definedName>
    <definedName name="_MB50097">[23]CALIFO96!$A$218:$L$246</definedName>
    <definedName name="_mes">#REF!</definedName>
    <definedName name="_MES1">#REF!</definedName>
    <definedName name="_mes2">#REF!</definedName>
    <definedName name="_NOV113">'[16]P.P. ISR'!#REF!</definedName>
    <definedName name="_NOV114">'[16]P.P. ISR'!#REF!</definedName>
    <definedName name="_NY2">#REF!</definedName>
    <definedName name="_OCT113">'[16]P.P. ISR'!#REF!</definedName>
    <definedName name="_OCT114">'[16]P.P. ISR'!#REF!</definedName>
    <definedName name="_Order1" hidden="1">255</definedName>
    <definedName name="_Order2" hidden="1">0</definedName>
    <definedName name="_pag1">#REF!</definedName>
    <definedName name="_pag2">#REF!</definedName>
    <definedName name="_PP2">#REF!</definedName>
    <definedName name="_Regression_Int" hidden="1">1</definedName>
    <definedName name="_SEP113">'[16]P.P. ISR'!#REF!</definedName>
    <definedName name="_SEP114">'[16]P.P. ISR'!#REF!</definedName>
    <definedName name="_Sort" hidden="1">#REF!</definedName>
    <definedName name="_SUB30">#REF!</definedName>
    <definedName name="_TC05">#REF!</definedName>
    <definedName name="_TC06">#REF!</definedName>
    <definedName name="_TC07">[13]TC07!$A$11:$N$41</definedName>
    <definedName name="_TC08">#REF!</definedName>
    <definedName name="_TC09">#REF!</definedName>
    <definedName name="_TC1">'[29]ML 51-52190'!#REF!</definedName>
    <definedName name="_TC10">#REF!</definedName>
    <definedName name="_TC11">'[30] DB INTL LTD 02JDA340467'!$B$243:$N$274</definedName>
    <definedName name="_TC2">'[8]TC USD 07'!$B$3:$N$34</definedName>
    <definedName name="_TC2005">'[14]2005'!$B$41:$N$42</definedName>
    <definedName name="_TC2006">#REF!</definedName>
    <definedName name="_TC2008">'[24]T.C. 2008'!$A$7:$M$38</definedName>
    <definedName name="_TC2009">#REF!</definedName>
    <definedName name="_tc2010">'[7]2010'!$A$8:$N$38</definedName>
    <definedName name="_TC3">'[29]ML 51-52190'!#REF!</definedName>
    <definedName name="_TC7">[31]TC07!$B$7:$O$41</definedName>
    <definedName name="_TEH4651">'[32]TC '!$A$8:$M$39</definedName>
    <definedName name="_TV10">#REF!</definedName>
    <definedName name="_USD10">'[9]2010'!$A$7:$M$38</definedName>
    <definedName name="_VAL1">#REF!</definedName>
    <definedName name="_VAL2">#REF!</definedName>
    <definedName name="A">'AAXI '!#REF!</definedName>
    <definedName name="A.___FORMATO2">#REF!,#REF!,#REF!,#REF!,#REF!,#REF!,#REF!,#REF!,#REF!</definedName>
    <definedName name="a_1">#REF!</definedName>
    <definedName name="A_impresión_IM">#REF!</definedName>
    <definedName name="AA">#REF!</definedName>
    <definedName name="aaa">#REF!</definedName>
    <definedName name="AAAA">[33]INPC!$A$3:$M$63</definedName>
    <definedName name="aaaaa">#REF!</definedName>
    <definedName name="AAAAAA">#REF!</definedName>
    <definedName name="AAAAAAAAA">#REF!</definedName>
    <definedName name="aaaaaaaaaaa">#REF!</definedName>
    <definedName name="AB" hidden="1">{#N/A,#N/A,FALSE,"Aging Summary";#N/A,#N/A,FALSE,"Ratio Analysis";#N/A,#N/A,FALSE,"Test 120 Day Accts";#N/A,#N/A,FALSE,"Tickmarks"}</definedName>
    <definedName name="ABR">[34]ABRIL!$A$6:$G$1002</definedName>
    <definedName name="abril">#REF!</definedName>
    <definedName name="abrile">'[8]TC EXTRANJERA 2007'!$E$9</definedName>
    <definedName name="abrilg">'[8]TC EXTRANJERA 2007'!$E$13</definedName>
    <definedName name="ACCIONES">#REF!</definedName>
    <definedName name="ACE">#REF!</definedName>
    <definedName name="ACPC">#REF!</definedName>
    <definedName name="Acredd">#REF!</definedName>
    <definedName name="ACREEDORES">#REF!</definedName>
    <definedName name="ACT">#REF!</definedName>
    <definedName name="actfij">#REF!</definedName>
    <definedName name="ACUMULADO">#REF!</definedName>
    <definedName name="AECCD">#REF!</definedName>
    <definedName name="AEIOL">#REF!</definedName>
    <definedName name="AFASAS">#REF!</definedName>
    <definedName name="AfilAct">#REF!</definedName>
    <definedName name="AfilPas">#REF!</definedName>
    <definedName name="ago">[34]AGOSTO!$A$6:$G$1123</definedName>
    <definedName name="agosto">#REF!</definedName>
    <definedName name="agostoe">'[8]TC EXTRANJERA 2007'!$I$9</definedName>
    <definedName name="agostog">'[8]TC EXTRANJERA 2007'!$I$13</definedName>
    <definedName name="AI">#REF!</definedName>
    <definedName name="AI1ER">#REF!</definedName>
    <definedName name="AI2DO">#REF!</definedName>
    <definedName name="AICUFIN">#REF!</definedName>
    <definedName name="AIDIFCUF">#REF!</definedName>
    <definedName name="AIPOND">#REF!</definedName>
    <definedName name="AISUM">#REF!</definedName>
    <definedName name="AIUFIN">#REF!</definedName>
    <definedName name="ALAS">#REF!</definedName>
    <definedName name="amanomi">[35]NOMINAS!$B$94:$B$96</definedName>
    <definedName name="AMARRCAP">#REF!</definedName>
    <definedName name="AMCIF">#REF!</definedName>
    <definedName name="AMIVA">#REF!</definedName>
    <definedName name="AMORAC">[19]DEPN!#REF!</definedName>
    <definedName name="AMUB">#REF!</definedName>
    <definedName name="ANCOIF">#REF!</definedName>
    <definedName name="ANGASAD">#REF!</definedName>
    <definedName name="ANGASFAB">#REF!</definedName>
    <definedName name="ANGASGEN">#REF!</definedName>
    <definedName name="ANGASVEN">#REF!</definedName>
    <definedName name="ANIF">#REF!</definedName>
    <definedName name="ANIH">#REF!</definedName>
    <definedName name="ANIRARR">#REF!</definedName>
    <definedName name="ANIRDIV">#REF!</definedName>
    <definedName name="ANIRHON">#REF!</definedName>
    <definedName name="ANIRINT">#REF!</definedName>
    <definedName name="ANOTPO">#REF!</definedName>
    <definedName name="ANTERIOR">#REF!</definedName>
    <definedName name="ANTICIPOS">#REF!</definedName>
    <definedName name="ANTIGUEDAD">#REF!</definedName>
    <definedName name="ANUAL">#REF!</definedName>
    <definedName name="AÑO1">#REF!</definedName>
    <definedName name="apa">#REF!</definedName>
    <definedName name="APPAS">#REF!</definedName>
    <definedName name="Apr_00">#REF!</definedName>
    <definedName name="ARA_Threshold">#REF!</definedName>
    <definedName name="AREA">#REF!</definedName>
    <definedName name="_xlnm.Print_Area" localSheetId="1">'AAXI '!$A$1:$N$31</definedName>
    <definedName name="_xlnm.Print_Area">#REF!</definedName>
    <definedName name="AREAS">#REF!</definedName>
    <definedName name="ARP_Threshold">#REF!</definedName>
    <definedName name="ART">'[36]INPC Base 2002'!$A$1:$IV$65536</definedName>
    <definedName name="Art._80">#REF!</definedName>
    <definedName name="Art._80_A">#REF!</definedName>
    <definedName name="Art._80_B">#REF!</definedName>
    <definedName name="ART_80">#REF!</definedName>
    <definedName name="ART_80_A">#REF!</definedName>
    <definedName name="ART_80_S">#REF!</definedName>
    <definedName name="arte">#REF!</definedName>
    <definedName name="AS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>#REF!</definedName>
    <definedName name="ASD">#REF!</definedName>
    <definedName name="asdada">#REF!</definedName>
    <definedName name="ASDF">#REF!</definedName>
    <definedName name="ASDSADSA">[37]INPC!$A$5:$N$61</definedName>
    <definedName name="ASFASFAS">#REF!</definedName>
    <definedName name="ASFD">'[36]INPC Base 2002'!$A$1:$IV$65536</definedName>
    <definedName name="Atributos" hidden="1">{#N/A,#N/A,FALSE,"Aging Summary";#N/A,#N/A,FALSE,"Ratio Analysis";#N/A,#N/A,FALSE,"Test 120 Day Accts";#N/A,#N/A,FALSE,"Tickmarks"}</definedName>
    <definedName name="AuditoríaAl">[38]!AuditoríaAl</definedName>
    <definedName name="Aug_00">#REF!</definedName>
    <definedName name="AUTOPECAS">#REF!</definedName>
    <definedName name="auxiliar">#REF!</definedName>
    <definedName name="Azul_10">#REF!,#REF!,#REF!,#REF!,#REF!,#REF!,#REF!</definedName>
    <definedName name="Azul_8">#REF!,#REF!,#REF!</definedName>
    <definedName name="Azul_9">#REF!,#REF!,#REF!,#REF!,#REF!,#REF!</definedName>
    <definedName name="B">#REF!</definedName>
    <definedName name="b_1">#REF!</definedName>
    <definedName name="bajas">'[39]cedula movimientos'!$D$28</definedName>
    <definedName name="bajas1" hidden="1">{#N/A,#N/A,FALSE,"Aging Summary";#N/A,#N/A,FALSE,"Ratio Analysis";#N/A,#N/A,FALSE,"Test 120 Day Accts";#N/A,#N/A,FALSE,"Tickmarks"}</definedName>
    <definedName name="BAJASFISC">#REF!</definedName>
    <definedName name="BALANCE">#REF!</definedName>
    <definedName name="BALANZA">[40]Sheet1!$A$1:$Q$132</definedName>
    <definedName name="BANK">#REF!</definedName>
    <definedName name="BASE">#REF!</definedName>
    <definedName name="_xlnm.Database">#REF!</definedName>
    <definedName name="bbbbbbbbb" hidden="1">#REF!</definedName>
    <definedName name="Bce_Cash">#REF!</definedName>
    <definedName name="BceDlls1">'[25]RESUMEN DLLS'!#REF!</definedName>
    <definedName name="BceDlls2">'[25]RESUMEN DLLS'!#REF!</definedName>
    <definedName name="benita" hidden="1">{#N/A,#N/A,FALSE,"Aging Summary";#N/A,#N/A,FALSE,"Ratio Analysis";#N/A,#N/A,FALSE,"Test 120 Day Accts";#N/A,#N/A,FALSE,"Tickmarks"}</definedName>
    <definedName name="beto">[41]INPC!$A$3:$M$56</definedName>
    <definedName name="BG_Del" hidden="1">15</definedName>
    <definedName name="BG_Ins" hidden="1">4</definedName>
    <definedName name="BG_Mod" hidden="1">6</definedName>
    <definedName name="BH" hidden="1">{#N/A,#N/A,FALSE,"Aging Summary";#N/A,#N/A,FALSE,"Ratio Analysis";#N/A,#N/A,FALSE,"Test 120 Day Accts";#N/A,#N/A,FALSE,"Tickmarks"}</definedName>
    <definedName name="BREMBO">#REF!</definedName>
    <definedName name="BUDGET">#REF!</definedName>
    <definedName name="C_">#N/A</definedName>
    <definedName name="cal">#REF!</definedName>
    <definedName name="CALCULO_ISPT_CATORCENAL">#REF!</definedName>
    <definedName name="CAMBIO">#REF!</definedName>
    <definedName name="Cambios_en_costo_y_total">#REF!</definedName>
    <definedName name="CANANEA">#REF!</definedName>
    <definedName name="CAPA_CORTE">[42]TENENCIA!#REF!</definedName>
    <definedName name="Cash">#REF!</definedName>
    <definedName name="CAT_LARGO">#REF!</definedName>
    <definedName name="CCA">[43]Tenencia!#REF!</definedName>
    <definedName name="ccc" hidden="1">#REF!</definedName>
    <definedName name="cccccc" hidden="1">#REF!</definedName>
    <definedName name="CCHE">#REF!</definedName>
    <definedName name="cdifer">#REF!</definedName>
    <definedName name="CED">#REF!</definedName>
    <definedName name="Cexistenciasinventario">#REF!</definedName>
    <definedName name="CF">#REF!</definedName>
    <definedName name="CFF">#REF!</definedName>
    <definedName name="CFT">#REF!</definedName>
    <definedName name="CHART">'[44]Chart of Account P&amp;L'!$A$2:$B$230</definedName>
    <definedName name="CHF">'[45]TC CHF'!$P$9:$AB$40</definedName>
    <definedName name="CIA">[46]B10!$B$4</definedName>
    <definedName name="CIMSA">[47]CIMSA!$A$8:$F$35</definedName>
    <definedName name="cjnweiofniqwo">[48]INPC!$A$4:$M$57</definedName>
    <definedName name="CLAVES_TABLA">[49]CLAVES!$A$2:$B$21</definedName>
    <definedName name="COL" hidden="1">#REF!</definedName>
    <definedName name="COMERMIN">#REF!</definedName>
    <definedName name="COMPARAPP">#REF!</definedName>
    <definedName name="COMPCRE">#REF!</definedName>
    <definedName name="COMPDEUD">#REF!</definedName>
    <definedName name="Compras">#REF!</definedName>
    <definedName name="COMPRAS_1">#REF!</definedName>
    <definedName name="COMPRAS_2">#REF!</definedName>
    <definedName name="COMPRAS_3">#REF!</definedName>
    <definedName name="CON">#REF!</definedName>
    <definedName name="CONBCO">#REF!</definedName>
    <definedName name="conc" hidden="1">{#N/A,#N/A,FALSE,"Aging Summary";#N/A,#N/A,FALSE,"Ratio Analysis";#N/A,#N/A,FALSE,"Test 120 Day Accts";#N/A,#N/A,FALSE,"Tickmarks"}</definedName>
    <definedName name="CONC_1">#REF!</definedName>
    <definedName name="CONCIL">#REF!</definedName>
    <definedName name="CONCIL_INGRESOS">[50]ANUAL!#REF!</definedName>
    <definedName name="CONCILIACION">#REF!</definedName>
    <definedName name="CONCILIACION_ING">#REF!</definedName>
    <definedName name="CONFIDENCIAL">#REF!</definedName>
    <definedName name="CONINGDIC">#REF!</definedName>
    <definedName name="CONSUEL">#REF!</definedName>
    <definedName name="CONSUINF">#REF!</definedName>
    <definedName name="CONSUISS">#REF!</definedName>
    <definedName name="CONVERSIONA">#REF!</definedName>
    <definedName name="corrcomb">#REF!</definedName>
    <definedName name="corte2">'[51]DIF. EN CUFIN'!$B$35:$I$46</definedName>
    <definedName name="corte3">'[51]DIF. EN CUFIN'!$B$51:$I$63</definedName>
    <definedName name="corte4">'[51]DIF. EN CUFIN'!$B$68:$I$76</definedName>
    <definedName name="COSTOS_STD">#REF!</definedName>
    <definedName name="CPC">#REF!</definedName>
    <definedName name="CRED">[52]TAB296!$N$12:$P$24</definedName>
    <definedName name="CRED30">#REF!</definedName>
    <definedName name="CREDITO">#REF!</definedName>
    <definedName name="CREDITO1">#REF!</definedName>
    <definedName name="CREDITOMENSUAL">#REF!</definedName>
    <definedName name="creditos">#REF!</definedName>
    <definedName name="_xlnm.Criteria">'[53]#¡REF'!#REF!</definedName>
    <definedName name="CRITERIOS1">#REF!</definedName>
    <definedName name="CSF">'[47]C S F'!$A$8:$F$91</definedName>
    <definedName name="CUFIN">'[54]CUFIN CONSOLIDADO'!$B$11:$O$40</definedName>
    <definedName name="CUFIN1">#REF!</definedName>
    <definedName name="CUFIN1POND">#REF!</definedName>
    <definedName name="CUFINRE">[55]CUFINRE!$B$28:$B$32,[55]CUFINRE!$N$28:$N$32</definedName>
    <definedName name="CV">#REF!</definedName>
    <definedName name="D">#REF!</definedName>
    <definedName name="d_1">#REF!</definedName>
    <definedName name="D_G">#REF!</definedName>
    <definedName name="dad" hidden="1">{#N/A,#N/A,FALSE,"Aging Summary";#N/A,#N/A,FALSE,"Ratio Analysis";#N/A,#N/A,FALSE,"Test 120 Day Accts";#N/A,#N/A,FALSE,"Tickmarks"}</definedName>
    <definedName name="DADA">#REF!</definedName>
    <definedName name="DADADADADA">#REF!</definedName>
    <definedName name="DADADFDA">#REF!</definedName>
    <definedName name="DAFDF">#REF!</definedName>
    <definedName name="daniela" hidden="1">{"DEPN1",#N/A,TRUE,"depn";"DEPN2",#N/A,TRUE,"depn";"ACT1",#N/A,TRUE,"moact";"ACT2",#N/A,TRUE,"moact";"iva1",#N/A,TRUE,"moiva";"RVAS1",#N/A,TRUE,"rvas";"RVAS2",#N/A,TRUE,"rvas";"NODED",#N/A,TRUE,"noded"}</definedName>
    <definedName name="DATA">#REF!</definedName>
    <definedName name="DATA_ULTIMO_AGGIORNAMENTO1">"Intestazione!R5C2"</definedName>
    <definedName name="DATI">#REF!</definedName>
    <definedName name="DATOS">#REF!</definedName>
    <definedName name="DatosCepeda">#REF!</definedName>
    <definedName name="DD" hidden="1">{"DEPN1",#N/A,TRUE,"depn";"DEPN2",#N/A,TRUE,"depn";"ACT1",#N/A,TRUE,"moact";"ACT2",#N/A,TRUE,"moact";"iva1",#N/A,TRUE,"moiva";"RVAS1",#N/A,TRUE,"rvas";"RVAS2",#N/A,TRUE,"rvas";"NODED",#N/A,TRUE,"noded"}</definedName>
    <definedName name="ddada">#REF!</definedName>
    <definedName name="ddd">#REF!</definedName>
    <definedName name="DDDD">#REF!</definedName>
    <definedName name="DE">#REF!</definedName>
    <definedName name="Dec_00">#REF!</definedName>
    <definedName name="DECLARACIONES">#REF!</definedName>
    <definedName name="DECPER">[15]DECPER!$D$23</definedName>
    <definedName name="definitop">#REF!</definedName>
    <definedName name="dep">'[56]cedula movimientos'!$G$20</definedName>
    <definedName name="DEPIMPAC">#REF!</definedName>
    <definedName name="DEPRECIACION">'[57]cedula movimientos'!$G$30</definedName>
    <definedName name="Depreciación" hidden="1">{"DEPN1",#N/A,TRUE,"depn";"DEPN2",#N/A,TRUE,"depn";"ACT1",#N/A,TRUE,"moact";"ACT2",#N/A,TRUE,"moact";"iva1",#N/A,TRUE,"moiva";"RVAS1",#N/A,TRUE,"rvas";"RVAS2",#N/A,TRUE,"rvas";"NODED",#N/A,TRUE,"noded"}</definedName>
    <definedName name="DESCRIZIONE1">"Intestazione!R4C2"</definedName>
    <definedName name="DESMESES">#REF!</definedName>
    <definedName name="DETIMPUESTOS">[58]DETALLEIMPUESTOS!#REF!</definedName>
    <definedName name="DFASD">[59]INPC!$A$4:$M$61</definedName>
    <definedName name="DFSADF">'[53]DIF MARZO'!#REF!</definedName>
    <definedName name="DIA">"TCDLLS07"</definedName>
    <definedName name="DIAS">#REF!</definedName>
    <definedName name="DIC">[34]DIC!$A$6:$G$1000</definedName>
    <definedName name="diciembre">#REF!</definedName>
    <definedName name="DIF">#REF!</definedName>
    <definedName name="DIFCUFIN">#REF!</definedName>
    <definedName name="DIFCUFINCO">#REF!</definedName>
    <definedName name="DIFCUFINCO1">#REF!</definedName>
    <definedName name="DIFCUFINCO2">#REF!</definedName>
    <definedName name="DIFCUFINCORTES">#REF!</definedName>
    <definedName name="DIFERENCIA">#REF!</definedName>
    <definedName name="DIFERENCIAL">[60]TC!#REF!</definedName>
    <definedName name="diferencial1">'[61]DIF EN CUFIN CIA'!$B$10:$G$23</definedName>
    <definedName name="dis" hidden="1">{#N/A,#N/A,FALSE,"Aging Summary";#N/A,#N/A,FALSE,"Ratio Analysis";#N/A,#N/A,FALSE,"Test 120 Day Accts";#N/A,#N/A,FALSE,"Tickmarks"}</definedName>
    <definedName name="DIV">#REF!</definedName>
    <definedName name="DIVIDENDO">#REF!</definedName>
    <definedName name="dividendos">#REF!</definedName>
    <definedName name="DL_CAN">#REF!</definedName>
    <definedName name="DL_EURO">#REF!</definedName>
    <definedName name="DL_GBP">#REF!</definedName>
    <definedName name="DolAnoAnt">#REF!</definedName>
    <definedName name="DolAnoAntI">[62]balance!$E$26</definedName>
    <definedName name="DolAnoAntIC">[62]balance!$D$21</definedName>
    <definedName name="DolAnoAntN">#REF!</definedName>
    <definedName name="DolAñoAntAcum">#REF!</definedName>
    <definedName name="DolAñoAntAcumI">[62]balance!$J$26</definedName>
    <definedName name="DolAñoAntAcumIC">[62]balance!$I$21</definedName>
    <definedName name="DolAñoAntAcumN">#REF!</definedName>
    <definedName name="DolPres">#REF!</definedName>
    <definedName name="DolPresAcum">#REF!</definedName>
    <definedName name="DolPresAcumI">[62]balance!$L$26</definedName>
    <definedName name="DolPresAcumIC">[62]balance!$K$21</definedName>
    <definedName name="DolPresAcumN">#REF!</definedName>
    <definedName name="DolPresI">[62]balance!$G$26</definedName>
    <definedName name="DolPresIC">[62]balance!$F$21</definedName>
    <definedName name="DolPresN">#REF!</definedName>
    <definedName name="DolReal">#REF!</definedName>
    <definedName name="DolRealAcum">#REF!</definedName>
    <definedName name="DolRealAcumI">[62]balance!$K$26</definedName>
    <definedName name="DolRealAcumIC">[62]balance!$J$21</definedName>
    <definedName name="DolRealAcumN">#REF!</definedName>
    <definedName name="DolRealI">[62]balance!$F$26</definedName>
    <definedName name="DolRealIC">[62]balance!$E$21</definedName>
    <definedName name="DolRealN">#REF!</definedName>
    <definedName name="dosporcien">#REF!</definedName>
    <definedName name="dospormty">#REF!</definedName>
    <definedName name="DSDS">'[53]#¡REF'!#REF!</definedName>
    <definedName name="DSS">'[53]#¡REF'!#REF!</definedName>
    <definedName name="DXP">#REF!</definedName>
    <definedName name="E">#REF!</definedName>
    <definedName name="EBSDF">#REF!</definedName>
    <definedName name="ECPV">#REF!</definedName>
    <definedName name="EDORESFISC">#REF!</definedName>
    <definedName name="EE">#REF!</definedName>
    <definedName name="EEEES">#REF!</definedName>
    <definedName name="EF">'[63]BALANZA-9'!$A$8:$F$77</definedName>
    <definedName name="efdfwef">#REF!</definedName>
    <definedName name="EJERCICIO">#REF!</definedName>
    <definedName name="elena">#REF!</definedName>
    <definedName name="ELIA" hidden="1">{#N/A,#N/A,FALSE,"Aging Summary";#N/A,#N/A,FALSE,"Ratio Analysis";#N/A,#N/A,FALSE,"Test 120 Day Accts";#N/A,#N/A,FALSE,"Tickmarks"}</definedName>
    <definedName name="Empresa">[38]!Empresa</definedName>
    <definedName name="Empresas">'[64]EMPRESAS QUE CONSOLIDAN'!$B$13:$D$59</definedName>
    <definedName name="ENAJ">#REF!</definedName>
    <definedName name="ENE">[65]ENERO!$A$6:$G$126</definedName>
    <definedName name="enero">#REF!</definedName>
    <definedName name="enerog">'[8]TC EXTRANJERA 2007'!$B$13</definedName>
    <definedName name="ENGEL" hidden="1">#REF!</definedName>
    <definedName name="EQ">#REF!</definedName>
    <definedName name="EQ_2009">[66]Equivalencias!$BX$4:$CJ$80</definedName>
    <definedName name="EQ_2010">[67]Equivalencias!$BI$4:$BU$80</definedName>
    <definedName name="EQUI">#REF!</definedName>
    <definedName name="Equiv_USD">'[68]Equivalencia divisas USD'!$A$3:$M$17</definedName>
    <definedName name="ERTH">#REF!</definedName>
    <definedName name="ESTANDARD">#REF!</definedName>
    <definedName name="estcostos">#REF!</definedName>
    <definedName name="Etapa_1">#REF!</definedName>
    <definedName name="Etapa_2">#REF!</definedName>
    <definedName name="Etapa_3">#REF!</definedName>
    <definedName name="Etapa_4">#REF!</definedName>
    <definedName name="Etapa_5">#REF!</definedName>
    <definedName name="Etapa_6">#REF!</definedName>
    <definedName name="ETETDT">#REF!</definedName>
    <definedName name="ETETE">#REF!</definedName>
    <definedName name="ETHJE">#REF!</definedName>
    <definedName name="ETJTDY">#REF!</definedName>
    <definedName name="ETTETE">#REF!</definedName>
    <definedName name="EURO">#REF!</definedName>
    <definedName name="Euro_2011">'[69]EUROS 2011'!$A$6:$M$37</definedName>
    <definedName name="EUROS">#REF!</definedName>
    <definedName name="EWWW">#REF!</definedName>
    <definedName name="EXCETAR">[15]ISR06!$F$45</definedName>
    <definedName name="EXISTENCIAS">#REF!</definedName>
    <definedName name="expjun">#REF!</definedName>
    <definedName name="FA">#REF!</definedName>
    <definedName name="FAX">#REF!</definedName>
    <definedName name="fdsadfd">#REF!</definedName>
    <definedName name="FDSF">#REF!</definedName>
    <definedName name="FEB">#REF!</definedName>
    <definedName name="Feb_00">#REF!</definedName>
    <definedName name="FEBRERO">#REF!</definedName>
    <definedName name="febreroe">'[8]TC EXTRANJERA 2007'!$C$9</definedName>
    <definedName name="febrerog">'[8]TC EXTRANJERA 2007'!$C$13</definedName>
    <definedName name="FECHA">#REF!</definedName>
    <definedName name="fes">#REF!</definedName>
    <definedName name="ff">#REF!</definedName>
    <definedName name="FFGH">#REF!</definedName>
    <definedName name="FGHFHF">#REF!</definedName>
    <definedName name="FINIQUITO">#REF!</definedName>
    <definedName name="finiquitos">#REF!</definedName>
    <definedName name="fjks">'[53]#¡REF'!#REF!</definedName>
    <definedName name="fondo">#REF!</definedName>
    <definedName name="FONDODA">#REF!</definedName>
    <definedName name="FRAG">[55]INPC!$J$9:$N$9,[55]INPC!$J$11:$N$11,[55]INPC!$J$13:$N$13</definedName>
    <definedName name="FRENOS">#REF!</definedName>
    <definedName name="FSA">[15]SUBSIDIO!$D$16</definedName>
    <definedName name="FSD">'[53]#¡REF'!#REF!</definedName>
    <definedName name="FSDF">#REF!</definedName>
    <definedName name="fsf">#REF!</definedName>
    <definedName name="funcyemp">#REF!</definedName>
    <definedName name="fw">#REF!</definedName>
    <definedName name="FWD">#REF!</definedName>
    <definedName name="GAEB">'[15]IV. ENAJ. BIENES'!$I$55</definedName>
    <definedName name="galgo" hidden="1">{#N/A,#N/A,FALSE,"Aging Summary";#N/A,#N/A,FALSE,"Ratio Analysis";#N/A,#N/A,FALSE,"Test 120 Day Accts";#N/A,#N/A,FALSE,"Tickmarks"}</definedName>
    <definedName name="gast6s">#REF!</definedName>
    <definedName name="gastos">#REF!</definedName>
    <definedName name="gfg" hidden="1">#REF!</definedName>
    <definedName name="GFGSD">'[16]P.P. ISR'!#REF!</definedName>
    <definedName name="GFIJOS">#REF!</definedName>
    <definedName name="GGRT">#REF!</definedName>
    <definedName name="GIJH">[70]INPC!$A$4:$M$57</definedName>
    <definedName name="giuguy" hidden="1">13</definedName>
    <definedName name="GOBFEDER">#REF!</definedName>
    <definedName name="gtoadm">#REF!</definedName>
    <definedName name="gtovta">#REF!</definedName>
    <definedName name="gvene">#REF!</definedName>
    <definedName name="H">#REF!</definedName>
    <definedName name="HENDRICKSON">#REF!</definedName>
    <definedName name="hhh">#REF!</definedName>
    <definedName name="HISRESUACUMULADO">#REF!</definedName>
    <definedName name="HISRESULMES">#REF!</definedName>
    <definedName name="HJK">#REF!</definedName>
    <definedName name="hkkjhk">#REF!</definedName>
    <definedName name="hl">#REF!</definedName>
    <definedName name="hlkhj">#REF!</definedName>
    <definedName name="HOJA">'[71]DEP 2000'!#REF!</definedName>
    <definedName name="HOJA_TRAB">#REF!</definedName>
    <definedName name="HOJA01_11">#REF!,#REF!,#REF!,#REF!,#REF!,#REF!,#REF!,#REF!,#REF!,#REF!</definedName>
    <definedName name="HRSEXTR">#REF!</definedName>
    <definedName name="HRSNVO">#REF!</definedName>
    <definedName name="IA">#REF!</definedName>
    <definedName name="IB">[15]ISR06!$C$39</definedName>
    <definedName name="IC">#REF!</definedName>
    <definedName name="IF">'[47]I F'!$A$8:$F$47</definedName>
    <definedName name="igigiu">#REF!</definedName>
    <definedName name="ihgsa" hidden="1">{#N/A,#N/A,FALSE,"Aging Summary";#N/A,#N/A,FALSE,"Ratio Analysis";#N/A,#N/A,FALSE,"Test 120 Day Accts";#N/A,#N/A,FALSE,"Tickmarks"}</definedName>
    <definedName name="IINCPP">'[72]INPC Base 2010'!$A$3:$M$65</definedName>
    <definedName name="IMP">#REF!</definedName>
    <definedName name="IMPR_AREA">#REF!</definedName>
    <definedName name="IMPRESION">'[73]OPCION7(DD-40)'!#REF!</definedName>
    <definedName name="Imprimir_área_IM">#REF!</definedName>
    <definedName name="IMPSDO">'[15]I. SALARIOS Y ASIMILADOS'!$D$12</definedName>
    <definedName name="impto">[74]ISSQN1!$A$1:$AM$70</definedName>
    <definedName name="IMPTONOMINA">#REF!</definedName>
    <definedName name="impuesto">#REF!</definedName>
    <definedName name="IMPUESTOMENSUAL">#REF!</definedName>
    <definedName name="IMSS">#REF!</definedName>
    <definedName name="IMSS2AQ">#REF!</definedName>
    <definedName name="IMSSNVO">#REF!</definedName>
    <definedName name="IN">[75]INPC!$A$4:$M$56</definedName>
    <definedName name="INACARR">'[15]III. ARREND'!$B$38</definedName>
    <definedName name="INCP">#REF!</definedName>
    <definedName name="INCP3">[76]INPC!$A$4:$M$56</definedName>
    <definedName name="ind">#REF!</definedName>
    <definedName name="INDICE">'[77] SSB 142'!$AI$146:$AU$203</definedName>
    <definedName name="INDICES">[78]INPC!$A$3:$M$55</definedName>
    <definedName name="indices1">#REF!</definedName>
    <definedName name="INGACSDO">'[15]I. SALARIOS Y ASIMILADOS'!$C$27</definedName>
    <definedName name="INGARR">'[15]III. ARREND'!$B$33</definedName>
    <definedName name="INGDIV">'[15]VIII. DIVIDENDOS'!$C$33</definedName>
    <definedName name="INGDIVA">'[15]VIII. DIVIDENDOS'!$C$34</definedName>
    <definedName name="INGEA2">'[15]IV. ENAJ. BIENES'!$I$44</definedName>
    <definedName name="INGR.EXENTO">#REF!</definedName>
    <definedName name="INGSDO">'[15]I. SALARIOS Y ASIMILADOS'!$C$12</definedName>
    <definedName name="INGSDOEX">'[15]I. SALARIOS Y ASIMILADOS'!$E$12</definedName>
    <definedName name="inicio">#REF!</definedName>
    <definedName name="INN">[76]INPC!$A$4:$M$56</definedName>
    <definedName name="inocc">[79]INPC!$A$3:$M$56</definedName>
    <definedName name="INP">[80]INPC!$A$1:$IV$65536</definedName>
    <definedName name="INPC">#REF!</definedName>
    <definedName name="INPC_2011">[81]INPC!$A$54:$N$65</definedName>
    <definedName name="INPC09">#REF!</definedName>
    <definedName name="INPC1">[82]INPC!$A$4:$M$62</definedName>
    <definedName name="inpc2">[75]INPC!$A$4:$M$56</definedName>
    <definedName name="INPC2006">[83]INPC!$A$3:$N$60</definedName>
    <definedName name="INPC2009">[84]INPC!$A$4:$N$65</definedName>
    <definedName name="INPC2020">'[85]INPC 2018'!$A$3:$N$56</definedName>
    <definedName name="INPC3">[86]INPC!$A$3:$M$66</definedName>
    <definedName name="inpc6">[87]INPC!$A$4:$M$60</definedName>
    <definedName name="INPCBASE2010">#REF!</definedName>
    <definedName name="inpcc">#REF!</definedName>
    <definedName name="INPCG">[88]INPC!$A$3:$N$58</definedName>
    <definedName name="INPCR">#REF!</definedName>
    <definedName name="INPCS">[89]INPC!$A$4:$M$57</definedName>
    <definedName name="INT">[90]INPC!$A$4:$M$56</definedName>
    <definedName name="INT_AUTOPECAS">#REF!</definedName>
    <definedName name="INT_FRENOS">#REF!</definedName>
    <definedName name="INT_FUNDIMAK">#REF!</definedName>
    <definedName name="INT_HENDRICKSON">#REF!</definedName>
    <definedName name="INT_LUISMIN">#REF!</definedName>
    <definedName name="INT_MUEPIENE">#REF!</definedName>
    <definedName name="INT_NHK">#REF!</definedName>
    <definedName name="INT_RASSAUTO">#REF!</definedName>
    <definedName name="INT_RASSINI">#REF!</definedName>
    <definedName name="INT_RESPIENE">#REF!</definedName>
    <definedName name="INT_SUSPENSION">#REF!</definedName>
    <definedName name="INTEX">'[15]IX. OING'!#REF!</definedName>
    <definedName name="INTNOM">'[15]IX. OING'!#REF!</definedName>
    <definedName name="INTREAL">'[15]IX. OING'!#REF!</definedName>
    <definedName name="INVENTARIOS">#REF!</definedName>
    <definedName name="IPC">#REF!</definedName>
    <definedName name="ISPT">#REF!</definedName>
    <definedName name="ISPT1">#REF!</definedName>
    <definedName name="ispt1a">#REF!</definedName>
    <definedName name="ISPTA">#REF!</definedName>
    <definedName name="ISR">#REF!</definedName>
    <definedName name="ISR141A">[15]ISR06!$G$49</definedName>
    <definedName name="ISR141B">[15]ISR06!$H$43</definedName>
    <definedName name="ISRCepeda">#REF!</definedName>
    <definedName name="ISRCOMP">#REF!</definedName>
    <definedName name="ISRDIV">'[15]VIII. DIVIDENDOS'!$C$35</definedName>
    <definedName name="ISREB">'[15]IV. ENAJ. BIENES'!$B$10</definedName>
    <definedName name="ISRINA">'[15]IV. ENAJ. BIENES'!$I$65</definedName>
    <definedName name="ISRMenCepeda">#REF!</definedName>
    <definedName name="ISRMensual">#REF!</definedName>
    <definedName name="ISS">#REF!</definedName>
    <definedName name="ISSBANCO">#REF!</definedName>
    <definedName name="ISSLO">#REF!</definedName>
    <definedName name="ISSMAC">#REF!</definedName>
    <definedName name="ISSMAO">#REF!</definedName>
    <definedName name="ISSMAR">#REF!</definedName>
    <definedName name="ISSMTY">[91]ISS1QN!$A$1:$P$64</definedName>
    <definedName name="ISSMTYANUAL">[91]IMSS!$B$1:$AD$30</definedName>
    <definedName name="ISSNVO">#REF!</definedName>
    <definedName name="ISSresumen">#REF!</definedName>
    <definedName name="ISSRI">#REF!</definedName>
    <definedName name="ISSROS">#REF!</definedName>
    <definedName name="ISSVA">#REF!</definedName>
    <definedName name="ISSVI">#REF!</definedName>
    <definedName name="iuh">#REF!</definedName>
    <definedName name="IVA">#REF!</definedName>
    <definedName name="J">#REF!</definedName>
    <definedName name="Jan_00">#REF!</definedName>
    <definedName name="javier">#REF!</definedName>
    <definedName name="jjj" hidden="1">{#N/A,#N/A,FALSE,"Aging Summary";#N/A,#N/A,FALSE,"Ratio Analysis";#N/A,#N/A,FALSE,"Test 120 Day Accts";#N/A,#N/A,FALSE,"Tickmarks"}</definedName>
    <definedName name="JJJJ">#REF!</definedName>
    <definedName name="jjjjj">[19]DEPN!#REF!</definedName>
    <definedName name="jkjh">#REF!</definedName>
    <definedName name="JLG" hidden="1">{#N/A,#N/A,TRUE,"PL";#N/A,#N/A,TRUE,"cash";#N/A,#N/A,TRUE,"balance"}</definedName>
    <definedName name="JORGE">#REF!</definedName>
    <definedName name="JP">#REF!</definedName>
    <definedName name="JUL">[34]JULIO!$A$6:$G$109</definedName>
    <definedName name="Jul_00">#REF!</definedName>
    <definedName name="julia" hidden="1">#REF!</definedName>
    <definedName name="julio">#REF!</definedName>
    <definedName name="julioe">'[8]TC EXTRANJERA 2007'!$H$9</definedName>
    <definedName name="juliog">'[8]TC EXTRANJERA 2007'!$H$13</definedName>
    <definedName name="JUN">[34]JUNIO!$A$6:$G$120</definedName>
    <definedName name="Jun_00">#REF!</definedName>
    <definedName name="junio">#REF!</definedName>
    <definedName name="junioe">'[8]TC EXTRANJERA 2007'!$G$9</definedName>
    <definedName name="juniog">'[8]TC EXTRANJERA 2007'!$G$13</definedName>
    <definedName name="KJ">#REF!</definedName>
    <definedName name="kklkl">#REF!</definedName>
    <definedName name="KL">#REF!</definedName>
    <definedName name="KLIJ5874">'[32]TC '!$A$8:$M$39</definedName>
    <definedName name="koko" hidden="1">{"DEPN1",#N/A,TRUE,"depn";"DEPN2",#N/A,TRUE,"depn";"ACT1",#N/A,TRUE,"moact";"ACT2",#N/A,TRUE,"moact";"iva1",#N/A,TRUE,"moiva";"RVAS1",#N/A,TRUE,"rvas";"RVAS2",#N/A,TRUE,"rvas";"NODED",#N/A,TRUE,"noded"}</definedName>
    <definedName name="L">#REF!</definedName>
    <definedName name="L_Adjust">[92]Links!$H$1:$H$65536</definedName>
    <definedName name="L_AJE_Tot">[92]Links!$G$1:$G$65536</definedName>
    <definedName name="L_CY_Beg">[92]Links!$F$1:$F$65536</definedName>
    <definedName name="L_CY_End">[92]Links!$J$1:$J$65536</definedName>
    <definedName name="L_PY_End">[92]Links!$K$1:$K$65536</definedName>
    <definedName name="L_RJE_Tot">[92]Links!$I$1:$I$65536</definedName>
    <definedName name="LAKJDS">#REF!</definedName>
    <definedName name="LED">#REF!</definedName>
    <definedName name="LEON">#REF!</definedName>
    <definedName name="LI">#REF!</definedName>
    <definedName name="LIQUIDACIONoNEGOCIADA">#REF!</definedName>
    <definedName name="LIQUIDACIONTOTAL">#REF!</definedName>
    <definedName name="LITAR">[15]ISR06!$F$43</definedName>
    <definedName name="ljlkj">'[93]Amarre nominas'!$G$85</definedName>
    <definedName name="lkdnalfcnalsdnca">[94]inpc!$B$2:$N$38</definedName>
    <definedName name="lkhjlkjlkj">#REF!</definedName>
    <definedName name="lkj">#REF!</definedName>
    <definedName name="lkjhi">#REF!</definedName>
    <definedName name="lkjl">#REF!</definedName>
    <definedName name="lkjlkj">#REF!</definedName>
    <definedName name="LKKLS">#REF!</definedName>
    <definedName name="lkñ">#REF!</definedName>
    <definedName name="ll3a">#REF!</definedName>
    <definedName name="ll3anal">#REF!</definedName>
    <definedName name="lll" hidden="1">{#N/A,#N/A,FALSE,"Aging Summary";#N/A,#N/A,FALSE,"Ratio Analysis";#N/A,#N/A,FALSE,"Test 120 Day Accts";#N/A,#N/A,FALSE,"Tickmarks"}</definedName>
    <definedName name="lñlñlññl">#REF!</definedName>
    <definedName name="LOCAL">#REF!</definedName>
    <definedName name="LOK">#REF!</definedName>
    <definedName name="LOL">#REF!</definedName>
    <definedName name="LP">#REF!</definedName>
    <definedName name="LUISMIN">#REF!</definedName>
    <definedName name="m">[94]inpc!$B$2:$N$38</definedName>
    <definedName name="MACRO1">#REF!</definedName>
    <definedName name="mano">#REF!</definedName>
    <definedName name="MAR">[65]MARZO!$A$6:$G$100</definedName>
    <definedName name="Mar_00">#REF!</definedName>
    <definedName name="mart">#REF!</definedName>
    <definedName name="marzo">#REF!</definedName>
    <definedName name="marzoe">'[8]TC EXTRANJERA 2007'!$D$9</definedName>
    <definedName name="marzog">'[8]TC EXTRANJERA 2007'!$D$13</definedName>
    <definedName name="max">#REF!</definedName>
    <definedName name="MAY">[34]MAYO!$A$6:$G$110</definedName>
    <definedName name="May_00">#REF!</definedName>
    <definedName name="MAYA">#REF!</definedName>
    <definedName name="mayo">#REF!</definedName>
    <definedName name="mayoe">'[8]TC EXTRANJERA 2007'!$F$9</definedName>
    <definedName name="mayog">'[8]TC EXTRANJERA 2007'!$F$13</definedName>
    <definedName name="MB500A97">[23]CALIFO96!$A$247:$L$274</definedName>
    <definedName name="MC">[47]MC!$A$8:$F$54</definedName>
    <definedName name="MCP">[47]MCP!$A$8:$F$39</definedName>
    <definedName name="MEMO" hidden="1">{#N/A,#N/A,FALSE,"Aging Summary";#N/A,#N/A,FALSE,"Ratio Analysis";#N/A,#N/A,FALSE,"Test 120 Day Accts";#N/A,#N/A,FALSE,"Tickmarks"}</definedName>
    <definedName name="MENSUALCREDITO">#REF!</definedName>
    <definedName name="MENSUALISPT">#REF!</definedName>
    <definedName name="MENSUALSUBSIDIO">#REF!</definedName>
    <definedName name="MES">#REF!</definedName>
    <definedName name="MESES">[95]inpc!$A$3:$M$3</definedName>
    <definedName name="MESREC">#REF!</definedName>
    <definedName name="mex">#REF!</definedName>
    <definedName name="MEXCOBRE">#REF!</definedName>
    <definedName name="MI.GI.__Srl">#REF!</definedName>
    <definedName name="mix">#REF!</definedName>
    <definedName name="mju">'[4]ML 51-52190'!#REF!</definedName>
    <definedName name="ML">'[47]ML '!$A$8:$F$48</definedName>
    <definedName name="MM">'[47]M M '!$A$8:$F$47</definedName>
    <definedName name="MMA">'[47]M M A'!$A$8:$F$93</definedName>
    <definedName name="MONTO1A">#REF!</definedName>
    <definedName name="MONTO2A">#REF!</definedName>
    <definedName name="mox">#REF!</definedName>
    <definedName name="MRA">[47]MRA!$A$8:$F$69</definedName>
    <definedName name="MSFO">'[47]M S F O'!$A$8:$F$68</definedName>
    <definedName name="MT">'[47]M T'!$A$8:$F$65</definedName>
    <definedName name="MUEPIENE">#REF!</definedName>
    <definedName name="MUEXALOS">#REF!</definedName>
    <definedName name="mux">#REF!</definedName>
    <definedName name="MZ">'[47]M Z'!$A$8:$F$23</definedName>
    <definedName name="MZO">#REF!</definedName>
    <definedName name="nbm">#REF!</definedName>
    <definedName name="NCARGO">#REF!</definedName>
    <definedName name="newimss">#REF!</definedName>
    <definedName name="NHK">#REF!</definedName>
    <definedName name="NMJAS">#REF!</definedName>
    <definedName name="NNN" hidden="1">{#N/A,#N/A,TRUE,"balance"}</definedName>
    <definedName name="NOM_nicolle">#REF!</definedName>
    <definedName name="NOMBONO">#REF!</definedName>
    <definedName name="NOMBRE">[15]ISR06!$C$1</definedName>
    <definedName name="NomeBilancio1">"Intestazione!R8C2"</definedName>
    <definedName name="NOMINA" hidden="1">[96]XREF!$A$10:$IV$10</definedName>
    <definedName name="NOMINA1A">#REF!</definedName>
    <definedName name="Nomina2">'[93]Vaciado Nomina'!#REF!</definedName>
    <definedName name="NOMINA2A">#REF!</definedName>
    <definedName name="Nomina3">'[93]Vaciado Nomina'!#REF!</definedName>
    <definedName name="NOMINACepeda">#REF!</definedName>
    <definedName name="NOMINAL">#REF!</definedName>
    <definedName name="NOMINAMAC">#REF!</definedName>
    <definedName name="NOMINAMAO">#REF!</definedName>
    <definedName name="NOMINAMAR">#REF!</definedName>
    <definedName name="NOMINARI">#REF!</definedName>
    <definedName name="NOMINAROS">#REF!</definedName>
    <definedName name="NOMINAS">#REF!</definedName>
    <definedName name="nominasss">[52]TAB296!$N$12:$P$24</definedName>
    <definedName name="NOMINAVA">#REF!</definedName>
    <definedName name="NOMINAVI">#REF!</definedName>
    <definedName name="NOV">[34]NOV!$A$6:$G$1000</definedName>
    <definedName name="Nov_00">#REF!</definedName>
    <definedName name="noviembre">#REF!</definedName>
    <definedName name="noviembree">'[8]TC EXTRANJERA 2007'!$L$9</definedName>
    <definedName name="noviembreg">'[8]TC EXTRANJERA 2007'!$L$13</definedName>
    <definedName name="NvsASD">"V2004-12-31"</definedName>
    <definedName name="NvsAutoDrillOk">"VN"</definedName>
    <definedName name="NvsElapsedTime">0.00217592592525762</definedName>
    <definedName name="NvsEndTime">38561.5547800926</definedName>
    <definedName name="NvsInstLang">"VESP"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"VPRV01"</definedName>
    <definedName name="NvsPanelEffdt">"V2002-01-01"</definedName>
    <definedName name="NvsPanelSetid">"VPVGNP"</definedName>
    <definedName name="NvsReqBU">"VPRV01"</definedName>
    <definedName name="NvsReqBUOnly">"VY"</definedName>
    <definedName name="NvsTransLed">"VN"</definedName>
    <definedName name="NvsTreeASD">"V2004-12-31"</definedName>
    <definedName name="NvsValTbl.ACCOUNT">"GL_ACCOUNT_TBL"</definedName>
    <definedName name="NvsValTbl.FN_MAYOR">"FN_MAYOR_TBL"</definedName>
    <definedName name="NY">#REF!</definedName>
    <definedName name="ñkñl" hidden="1">{#N/A,#N/A,FALSE,"Aging Summary";#N/A,#N/A,FALSE,"Ratio Analysis";#N/A,#N/A,FALSE,"Test 120 Day Accts";#N/A,#N/A,FALSE,"Tickmarks"}</definedName>
    <definedName name="OBTENIDO">'[97]TIPO CAMBIO'!$C$2:$H$37,'[97]TIPO CAMBIO'!$B$39:$N$62,'[97]TIPO CAMBIO'!$B$64:$P$111</definedName>
    <definedName name="OCT">[34]OCT!$A$6:$G$1100</definedName>
    <definedName name="Oct_00">#REF!</definedName>
    <definedName name="octubre">#REF!</definedName>
    <definedName name="octubree">'[8]TC EXTRANJERA 2007'!$K$9</definedName>
    <definedName name="octubreg">'[8]TC EXTRANJERA 2007'!$K$13</definedName>
    <definedName name="oho">#REF!</definedName>
    <definedName name="OIA">'[15]IX. OING'!#REF!</definedName>
    <definedName name="OIN">'[15]IX. OING'!$E$16</definedName>
    <definedName name="OIT">'[15]IX. OING'!#REF!</definedName>
    <definedName name="OITN">'[15]IX. OING'!$C$16</definedName>
    <definedName name="oiu">'[93]Amarre nominas'!$F$92</definedName>
    <definedName name="oiuoiuoiuoiu">#REF!</definedName>
    <definedName name="ok">#REF!</definedName>
    <definedName name="OP">'[15]IX. OING'!#REF!</definedName>
    <definedName name="OPC">#REF!</definedName>
    <definedName name="OPSAFIL">#REF!</definedName>
    <definedName name="ORA_ULTIMO_AGGIORNAMENTO1">"Intestazione!R6C2"</definedName>
    <definedName name="OTRASCXC">#REF!</definedName>
    <definedName name="OTROSACTIVOS">#REF!</definedName>
    <definedName name="ouoi" hidden="1">{#N/A,#N/A,FALSE,"Aging Summary";#N/A,#N/A,FALSE,"Ratio Analysis";#N/A,#N/A,FALSE,"Test 120 Day Accts";#N/A,#N/A,FALSE,"Tickmarks"}</definedName>
    <definedName name="PAC">#REF!</definedName>
    <definedName name="Pag_1">#REF!,#REF!,#REF!</definedName>
    <definedName name="Pag_10">#REF!,#REF!</definedName>
    <definedName name="Pag_11">#REF!,#REF!,#REF!,#REF!</definedName>
    <definedName name="Pag_2">#REF!,#REF!,#REF!,#REF!,#REF!,#REF!,#REF!,#REF!,#REF!,#REF!,#REF!,#REF!,#REF!,#REF!</definedName>
    <definedName name="Pag_3">#REF!,#REF!,#REF!,#REF!,#REF!,#REF!,#REF!</definedName>
    <definedName name="Pag_4">#REF!,#REF!,#REF!,#REF!,#REF!,#REF!,#REF!,#REF!,#REF!,#REF!,#REF!,#REF!,#REF!</definedName>
    <definedName name="Pag_5">#REF!,#REF!,#REF!</definedName>
    <definedName name="Pag_7">#REF!,#REF!,#REF!,#REF!,#REF!,#REF!,#REF!,#REF!,#REF!,#REF!,#REF!,#REF!</definedName>
    <definedName name="Pag_8">#REF!,#REF!</definedName>
    <definedName name="Pag_9">#REF!,#REF!,#REF!,#REF!</definedName>
    <definedName name="pagant">#REF!</definedName>
    <definedName name="PAGOS">#REF!</definedName>
    <definedName name="PARTICIPACION">#REF!</definedName>
    <definedName name="PAS">#REF!</definedName>
    <definedName name="PAY">#REF!</definedName>
    <definedName name="PE" hidden="1">{#N/A,#N/A,FALSE,"Aging Summary";#N/A,#N/A,FALSE,"Ratio Analysis";#N/A,#N/A,FALSE,"Test 120 Day Accts";#N/A,#N/A,FALSE,"Tickmarks"}</definedName>
    <definedName name="PERACREDVA">#REF!</definedName>
    <definedName name="perd">[98]INPC!$A$4:$M$57</definedName>
    <definedName name="PerdFiscal">#REF!</definedName>
    <definedName name="PERDIDAS">#REF!</definedName>
    <definedName name="PERINT">'[15]IX. OING'!#REF!</definedName>
    <definedName name="periodo">#REF!</definedName>
    <definedName name="periodos">[99]Param!$B$5:$N$7</definedName>
    <definedName name="PERVTAACC">#REF!</definedName>
    <definedName name="PLRTJHY">#REF!</definedName>
    <definedName name="PMAVAC">#REF!</definedName>
    <definedName name="pokj">#REF!</definedName>
    <definedName name="POLIZA">#REF!</definedName>
    <definedName name="POLVTS">#REF!</definedName>
    <definedName name="Ponderaciones" hidden="1">{#N/A,#N/A,FALSE,"Aging Summary";#N/A,#N/A,FALSE,"Ratio Analysis";#N/A,#N/A,FALSE,"Test 120 Day Accts";#N/A,#N/A,FALSE,"Tickmarks"}</definedName>
    <definedName name="posmon">#REF!</definedName>
    <definedName name="PPA">'[61]PPA SOCIEDAD'!$B$21:$N$44</definedName>
    <definedName name="ppo" hidden="1">34</definedName>
    <definedName name="PPTO">#REF!</definedName>
    <definedName name="PRESENT">[97]ENERO!$C$2:$I$39,[97]ENERO!$C$40:$O$63,[97]ENERO!$B$68:$K$112</definedName>
    <definedName name="Print_Area">#REF!</definedName>
    <definedName name="Print_Area_MI">#REF!</definedName>
    <definedName name="Print_Titles_MI">[100]DEPREC!#REF!,[100]DEPREC!#REF!</definedName>
    <definedName name="PRODDTA_F4101">#REF!</definedName>
    <definedName name="PRODDTA_F41021">#REF!</definedName>
    <definedName name="PRODDTA_F4105">#REF!</definedName>
    <definedName name="product">#REF!</definedName>
    <definedName name="productos">#REF!</definedName>
    <definedName name="propiedades1" hidden="1">3</definedName>
    <definedName name="proveedores">#REF!</definedName>
    <definedName name="PROVIMPAC">#N/A</definedName>
    <definedName name="PROVISIONGASTOS">#REF!</definedName>
    <definedName name="ptllprsnl">#REF!</definedName>
    <definedName name="PUBLICACION">[101]TC!#REF!</definedName>
    <definedName name="pv">#REF!</definedName>
    <definedName name="PVTAACC">#REF!</definedName>
    <definedName name="PyG">'[25]RESUMEN PESOS'!#REF!</definedName>
    <definedName name="PyGDlls">'[25]RESUMEN DLLS'!#REF!</definedName>
    <definedName name="PzaAnoAnt">#REF!</definedName>
    <definedName name="PzaAnoAntI">[62]balance!$E$29</definedName>
    <definedName name="PzaAnoAntIC">[62]balance!$D$24</definedName>
    <definedName name="PzaAnoAntN">#REF!</definedName>
    <definedName name="PzaAñoAntAcum">#REF!</definedName>
    <definedName name="PzaAñoAntAcumI">[62]balance!$J$29</definedName>
    <definedName name="PzaAñoAntAcumIC">[62]balance!$I$24</definedName>
    <definedName name="PzaAñoAntAcumN">#REF!</definedName>
    <definedName name="PzaPres">#REF!</definedName>
    <definedName name="PzaPresAcum">#REF!</definedName>
    <definedName name="PzaPresAcumI">[62]balance!$L$29</definedName>
    <definedName name="PzaPresAcumIC">[62]balance!$K$24</definedName>
    <definedName name="PzaPresAcumN">#REF!</definedName>
    <definedName name="PzaPresI">[62]balance!$G$29</definedName>
    <definedName name="PzaPresIC">[62]balance!$F$24</definedName>
    <definedName name="PzaPresN">#REF!</definedName>
    <definedName name="PzaReal">#REF!</definedName>
    <definedName name="PzaRealAcum">#REF!</definedName>
    <definedName name="PzaRealAcumI">[62]balance!$K$29</definedName>
    <definedName name="PzaRealAcumIC">[62]balance!$J$24</definedName>
    <definedName name="PzaRealAcumN">#REF!</definedName>
    <definedName name="PzaRealI">[62]balance!$F$29</definedName>
    <definedName name="PzaRealIC">[62]balance!$E$24</definedName>
    <definedName name="PzaRealN">#REF!</definedName>
    <definedName name="Q">'[102]TC EURO 2007'!#REF!</definedName>
    <definedName name="QD">#REF!</definedName>
    <definedName name="qqqqqqq" hidden="1">#REF!</definedName>
    <definedName name="QUe" hidden="1">{#N/A,#N/A,FALSE,"Aging Summary";#N/A,#N/A,FALSE,"Ratio Analysis";#N/A,#N/A,FALSE,"Test 120 Day Accts";#N/A,#N/A,FALSE,"Tickmarks"}</definedName>
    <definedName name="QUEE" hidden="1">{#N/A,#N/A,FALSE,"Aging Summary";#N/A,#N/A,FALSE,"Ratio Analysis";#N/A,#N/A,FALSE,"Test 120 Day Accts";#N/A,#N/A,FALSE,"Tickmarks"}</definedName>
    <definedName name="QUI">#REF!</definedName>
    <definedName name="qw">#REF!</definedName>
    <definedName name="RAB">#REF!</definedName>
    <definedName name="RABANO">#REF!</definedName>
    <definedName name="ran">'[103]Private Equiy USD 7299301'!#REF!</definedName>
    <definedName name="RASSAUTO">#REF!</definedName>
    <definedName name="RASSINI">#REF!</definedName>
    <definedName name="RawData">#REF!</definedName>
    <definedName name="RCBI">#REF!</definedName>
    <definedName name="RCC">#REF!</definedName>
    <definedName name="RE">#N/A</definedName>
    <definedName name="REAL">#REF!</definedName>
    <definedName name="REC_nicolle">#REF!</definedName>
    <definedName name="RECARGOS">#REF!</definedName>
    <definedName name="RECIBO">#REF!</definedName>
    <definedName name="RECIBOCepeda">#REF!</definedName>
    <definedName name="RECIBOLO">#REF!</definedName>
    <definedName name="RECIBOMAC">#REF!</definedName>
    <definedName name="RECIBOMAO">#REF!</definedName>
    <definedName name="RECIBOMAR">#REF!</definedName>
    <definedName name="RECIBORI">#REF!</definedName>
    <definedName name="RECIBOROS">#REF!</definedName>
    <definedName name="RECIBOS">#N/A</definedName>
    <definedName name="RECIBOS1A">#REF!</definedName>
    <definedName name="RECIBOS2A">#REF!</definedName>
    <definedName name="RECIBOVA">#REF!</definedName>
    <definedName name="RECIBOVI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[104]MMA!#REF!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7">#REF!</definedName>
    <definedName name="Ref_5">#REF!</definedName>
    <definedName name="Ref_6">#REF!</definedName>
    <definedName name="Ref_67">#REF!</definedName>
    <definedName name="Ref_7">#REF!</definedName>
    <definedName name="Ref_8">#REF!</definedName>
    <definedName name="Ref_9">#REF!</definedName>
    <definedName name="Relación_de_personal">#REF!</definedName>
    <definedName name="RESCOMP">#REF!</definedName>
    <definedName name="Reserva">#REF!</definedName>
    <definedName name="RESIMSS">#N/A</definedName>
    <definedName name="RESPIENE">#REF!</definedName>
    <definedName name="RESUMEN" hidden="1">[105]XREF!$A$17</definedName>
    <definedName name="RESUMEN1" hidden="1">#REF!</definedName>
    <definedName name="RESUMEN2">#REF!</definedName>
    <definedName name="RESUMEN3">#REF!</definedName>
    <definedName name="RESUMEN4">#REF!</definedName>
    <definedName name="RESVTAACC">#REF!</definedName>
    <definedName name="RETARR">'[15]III. ARREND'!$B$40</definedName>
    <definedName name="RETENAJ">'[15]IV. ENAJ. BIENES'!$I$51</definedName>
    <definedName name="RETENCIONES">#REF!</definedName>
    <definedName name="RETINT">'[15]IX. OING'!#REF!</definedName>
    <definedName name="RETOI">'[15]IX. OING'!$G$16</definedName>
    <definedName name="rev">#REF!</definedName>
    <definedName name="RGER3845">'[32]TC '!$A$8:$M$39</definedName>
    <definedName name="RGFFCCACUM">[58]RGFFCC!#REF!</definedName>
    <definedName name="RGFFCCMES">[58]RGFFCC!#REF!</definedName>
    <definedName name="RGMEXICOACUM">[58]TRIMESTREGMEXICO!#REF!</definedName>
    <definedName name="RGMEXICOMES">[58]TRIMESTREGMEXICO!#REF!</definedName>
    <definedName name="RI">#REF!</definedName>
    <definedName name="Riclassificato1">"Intestazione!R9C2"</definedName>
    <definedName name="RMINERAMEXICOACUM">[58]TRIMESTREMINERAMEXICO!#REF!</definedName>
    <definedName name="RMINERAMEXICOMES">[58]TRIMESTREMINERAMEXICO!#REF!</definedName>
    <definedName name="RMTOTAL">[97]ENERO!$C$2:$I$38,[97]ENERO!$C$40:$O$66,[97]ENERO!$B$68:$Q$116</definedName>
    <definedName name="RO">#REF!</definedName>
    <definedName name="ROCEX">#REF!</definedName>
    <definedName name="RODAMEX">#REF!</definedName>
    <definedName name="ROPPS">#REF!</definedName>
    <definedName name="rotacion">#REF!</definedName>
    <definedName name="ROYAL">#REF!</definedName>
    <definedName name="RTDSGSFG">#REF!</definedName>
    <definedName name="RTU">#REF!</definedName>
    <definedName name="RTYRY">#REF!</definedName>
    <definedName name="RTYRYR">#REF!</definedName>
    <definedName name="ruta">#REF!</definedName>
    <definedName name="RUTH" hidden="1">{#N/A,#N/A,FALSE,"Aging Summary";#N/A,#N/A,FALSE,"Ratio Analysis";#N/A,#N/A,FALSE,"Test 120 Day Accts";#N/A,#N/A,FALSE,"Tickmarks"}</definedName>
    <definedName name="RVAISRPTU">#REF!</definedName>
    <definedName name="S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adfa">#REF!</definedName>
    <definedName name="SAFD">#REF!</definedName>
    <definedName name="SAFDSF">#REF!</definedName>
    <definedName name="SAFI">#REF!</definedName>
    <definedName name="SalarioInt">'[74]S.D.I.'!$B$1:$O$67</definedName>
    <definedName name="SALARIOS">#REF!</definedName>
    <definedName name="SALDO">#REF!</definedName>
    <definedName name="saldo_bonos">#REF!</definedName>
    <definedName name="SANLUIS">#REF!</definedName>
    <definedName name="SARINF">#REF!</definedName>
    <definedName name="sasas">#REF!</definedName>
    <definedName name="SASD">#REF!</definedName>
    <definedName name="SC" hidden="1">{"PageT1",#N/A,FALSE,"ACL363";"PageT1a",#N/A,FALSE,"ACL363";"PageT2",#N/A,FALSE,"ACL363";"PageT3",#N/A,FALSE,"ACL363";"PageT4",#N/A,FALSE,"ACL363";"PageR1",#N/A,FALSE,"ACL363";"Other",#N/A,FALSE,"ACL363"}</definedName>
    <definedName name="SCF">[47]SCF!$A$8:$F$84</definedName>
    <definedName name="SD">#REF!</definedName>
    <definedName name="SDAS">[19]DEPN!#REF!</definedName>
    <definedName name="SDD">#REF!</definedName>
    <definedName name="SDF">#REF!</definedName>
    <definedName name="SDFBSDFB">#REF!</definedName>
    <definedName name="SDFE">'[53]#¡REF'!#REF!</definedName>
    <definedName name="SDI">#REF!</definedName>
    <definedName name="SDOSAFIL">#REF!</definedName>
    <definedName name="SDS">#REF!</definedName>
    <definedName name="sdsadsadsad">#REF!</definedName>
    <definedName name="sdsd">#REF!</definedName>
    <definedName name="SEP">[65]SEPTIEMBRE!$A$6:$G$107</definedName>
    <definedName name="Sep_00">#REF!</definedName>
    <definedName name="septiembre">#REF!</definedName>
    <definedName name="septiembree">'[8]TC EXTRANJERA 2007'!$J$9</definedName>
    <definedName name="septiembreg">'[8]TC EXTRANJERA 2007'!$J$13</definedName>
    <definedName name="SETA">#REF!</definedName>
    <definedName name="SFDFDS">'[53]DIF MARZO'!#REF!</definedName>
    <definedName name="SFDSJF" hidden="1">{#N/A,#N/A,FALSE,"Aging Summary";#N/A,#N/A,FALSE,"Ratio Analysis";#N/A,#N/A,FALSE,"Test 120 Day Accts";#N/A,#N/A,FALSE,"Tickmarks"}</definedName>
    <definedName name="SINVACC">#REF!</definedName>
    <definedName name="SOCIETA1">"Intestazione!R3C2"</definedName>
    <definedName name="socorro">#REF!</definedName>
    <definedName name="SPC">#REF!</definedName>
    <definedName name="SS">'[106]Comp Inf Cred'!$A$6:$IV$11</definedName>
    <definedName name="SSE">'[53]#¡REF'!#REF!</definedName>
    <definedName name="SSG">'[47]S S G'!$A$8:$F$27</definedName>
    <definedName name="sss">[52]TAB296!$B$12:$E$19</definedName>
    <definedName name="ssssss">#REF!</definedName>
    <definedName name="STD_FAM">[107]ESTANDARD!$B$1:$L$3590</definedName>
    <definedName name="STD_NEW">[49]ESTANDAR!$B$1:$L$3667</definedName>
    <definedName name="SU">#REF!</definedName>
    <definedName name="Sub">#REF!</definedName>
    <definedName name="SUBSIDIO">#REF!</definedName>
    <definedName name="subsidioanual">#REF!</definedName>
    <definedName name="subsidioanula">#REF!</definedName>
    <definedName name="SUBSIDIOMENSUAL">#REF!</definedName>
    <definedName name="SUELDO_CATORCENAL_TOTAL">#REF!</definedName>
    <definedName name="SWISS_FRANK">#REF!</definedName>
    <definedName name="SZ">[31]TC05!$B$9:$N$39</definedName>
    <definedName name="T">#REF!</definedName>
    <definedName name="T.C.">#REF!</definedName>
    <definedName name="T.C.01">#REF!</definedName>
    <definedName name="T.C.02">#REF!</definedName>
    <definedName name="T.C.03">#REF!</definedName>
    <definedName name="T.C.04">#REF!</definedName>
    <definedName name="T.C.05">#REF!</definedName>
    <definedName name="T.C.06">#REF!</definedName>
    <definedName name="T.C.07">#REF!</definedName>
    <definedName name="T.C.08">#REF!</definedName>
    <definedName name="T.C.09">#REF!</definedName>
    <definedName name="T.C.10">#REF!</definedName>
    <definedName name="T.C.2012">#REF!</definedName>
    <definedName name="TA">#REF!</definedName>
    <definedName name="tab">#REF!</definedName>
    <definedName name="TABJUL">#REF!</definedName>
    <definedName name="TABLA">#REF!</definedName>
    <definedName name="TABLA_ART_80_80A">#REF!</definedName>
    <definedName name="tablao">[108]TABLAO!$A$3:$D$1534</definedName>
    <definedName name="TARIFA">#REF!</definedName>
    <definedName name="TARIFA141">#REF!</definedName>
    <definedName name="TARIFAS">#REF!</definedName>
    <definedName name="TASA">[19]DEPN!#REF!</definedName>
    <definedName name="TC">#REF!</definedName>
    <definedName name="TC_">#REF!</definedName>
    <definedName name="TC_2009">#REF!</definedName>
    <definedName name="TC_2010">#REF!</definedName>
    <definedName name="TC_2011">#REF!</definedName>
    <definedName name="TC_2012">#REF!</definedName>
    <definedName name="TC_2013">#REF!</definedName>
    <definedName name="TC_2014">#REF!</definedName>
    <definedName name="TC_2020">'[109]T.C.2020'!$B$8:$N$39</definedName>
    <definedName name="TC_USD_2004">#REF!</definedName>
    <definedName name="TC_USD_2005">#REF!</definedName>
    <definedName name="TC_USD_2006">#REF!</definedName>
    <definedName name="TC_USD_2007">#REF!</definedName>
    <definedName name="TC_USD_2008">#REF!</definedName>
    <definedName name="TC_USD_2009">#REF!</definedName>
    <definedName name="TC_USD_2010">#REF!</definedName>
    <definedName name="TC_USD_2011">#REF!</definedName>
    <definedName name="TC_USD_2012">#REF!</definedName>
    <definedName name="TC_USD_2013">#REF!</definedName>
    <definedName name="TC_USD_2014">#REF!</definedName>
    <definedName name="TC_USD_2015">#REF!</definedName>
    <definedName name="tcabr">#REF!</definedName>
    <definedName name="tcago">#REF!</definedName>
    <definedName name="TCCHF">'[110]TC CHF'!$S$11:$AE$41</definedName>
    <definedName name="tcdic">#REF!</definedName>
    <definedName name="TCDLLS00">#REF!</definedName>
    <definedName name="TCDLLS03">'[111]TC DLLS'!$A$205:$M$236</definedName>
    <definedName name="TCDLLS04">'[111]TC DLLS'!$A$165:$M$196</definedName>
    <definedName name="TCDLLS06">'[112]TC DLLS'!$A$8:$M$39</definedName>
    <definedName name="TCDLLS07">#REF!</definedName>
    <definedName name="TCDLLS09">#REF!</definedName>
    <definedName name="TCDLLS2003">#REF!</definedName>
    <definedName name="TCDLLS2004">#REF!</definedName>
    <definedName name="TCDLLS2005">'[113]2005'!$A$6:$M$39</definedName>
    <definedName name="TCDLLS2006">'[113]2006'!$A$8:$M$39</definedName>
    <definedName name="TCDLLS2007">'[114]2007'!$A$6:$M$38</definedName>
    <definedName name="tcene">#REF!</definedName>
    <definedName name="tcfeb">#REF!</definedName>
    <definedName name="tcjul">#REF!</definedName>
    <definedName name="tcjun">#REF!</definedName>
    <definedName name="tcmar">#REF!</definedName>
    <definedName name="tcmay">#REF!</definedName>
    <definedName name="tcnov">#REF!</definedName>
    <definedName name="tcoct">#REF!</definedName>
    <definedName name="tcsep">#REF!</definedName>
    <definedName name="TE">[15]ISR06!$F$15</definedName>
    <definedName name="Tenencia">[61]TENENCIA!$B$5:$AC$104</definedName>
    <definedName name="TERCERO">[115]PRIMERO!#REF!</definedName>
    <definedName name="TERTRE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[116]Auditoria!$A$4006:$N$4164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1">'[117]Perdidas fiscales'!#REF!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[118]Vaciado!#REF!</definedName>
    <definedName name="TextRefCopy3">#REF!</definedName>
    <definedName name="TextRefCopy30">'[119]ISPT 2DO. SEM.'!#REF!</definedName>
    <definedName name="TextRefCopy31">[118]Vaciado!#REF!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'[96]Contratac.2002'!#REF!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[120]SDI!$A$1</definedName>
    <definedName name="TextRefCopy51">#REF!</definedName>
    <definedName name="TextRefCopy52">[120]ISPT!$A$5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60">#REF!</definedName>
    <definedName name="TextRefCopy62">[120]RevAnalítica!$B$5</definedName>
    <definedName name="TextRefCopy63">[120]RevAnalítica!$B$5</definedName>
    <definedName name="TextRefCopy64">[120]Muestra!$A$1</definedName>
    <definedName name="TextRefCopy65">[120]Muestra!$A$1</definedName>
    <definedName name="TextRefCopy66">[120]ISPT!$A$5</definedName>
    <definedName name="TextRefCopy67">[120]Muestra!$B$16</definedName>
    <definedName name="TextRefCopy69">'[120]Amarre de Nóminas vs Contab'!$AG$400</definedName>
    <definedName name="TextRefCopy7">#REF!</definedName>
    <definedName name="TextRefCopy70">[120]RevAnalítica!$B$5</definedName>
    <definedName name="TextRefCopy71">'[120]Amarre de Nóminas vs Contab'!$AE$399</definedName>
    <definedName name="TextRefCopy8">#REF!</definedName>
    <definedName name="TextRefCopy9">#REF!</definedName>
    <definedName name="TextRefCopyRangeCount" hidden="1">1</definedName>
    <definedName name="tik" hidden="1">{#N/A,#N/A,FALSE,"Aging Summary";#N/A,#N/A,FALSE,"Ratio Analysis";#N/A,#N/A,FALSE,"Test 120 Day Accts";#N/A,#N/A,FALSE,"Tickmarks"}</definedName>
    <definedName name="TIPO">#REF!</definedName>
    <definedName name="TIPO_CAMBIO">#REF!</definedName>
    <definedName name="TIPO2009">#REF!</definedName>
    <definedName name="TIPO2010">#REF!</definedName>
    <definedName name="TIPOCAMBIO">'[77] SSB 142'!$AI$66:$AV$96</definedName>
    <definedName name="TIPOCHANGE">'[32]TC '!$A$8:$M$39</definedName>
    <definedName name="tipodecambio08">#REF!</definedName>
    <definedName name="_xlnm.Print_Titles">#REF!</definedName>
    <definedName name="TonAnoAnt">#REF!</definedName>
    <definedName name="TonAnoAntI">[62]balance!$E$27</definedName>
    <definedName name="TonAnoAntIC">[62]balance!$D$22</definedName>
    <definedName name="TonAnoAntN">#REF!</definedName>
    <definedName name="TonAñoAntAcum">#REF!</definedName>
    <definedName name="TonAñoAntAcumI">[62]balance!$J$27</definedName>
    <definedName name="TonAñoAntAcumIC">[62]balance!$I$22</definedName>
    <definedName name="TonAñoAntAcumN">#REF!</definedName>
    <definedName name="TonPres">#REF!</definedName>
    <definedName name="TonPresAcum">#REF!</definedName>
    <definedName name="TonPresAcumI">[62]balance!$L$27</definedName>
    <definedName name="TonPresAcumIC">[62]balance!$K$22</definedName>
    <definedName name="TonPresAcumN">#REF!</definedName>
    <definedName name="TonPresI">[62]balance!$G$27</definedName>
    <definedName name="TonPresIC">[62]balance!$F$22</definedName>
    <definedName name="TonPresN">#REF!</definedName>
    <definedName name="TonReal">#REF!</definedName>
    <definedName name="TonRealAcum">#REF!</definedName>
    <definedName name="TonRealAcumI">[62]balance!$K$27</definedName>
    <definedName name="TonRealAcumIC">[62]balance!$J$22</definedName>
    <definedName name="TonRealAcumN">#REF!</definedName>
    <definedName name="TonRealI">[62]balance!$F$27</definedName>
    <definedName name="TonRealIC">[62]balance!$E$22</definedName>
    <definedName name="TonRealN">#REF!</definedName>
    <definedName name="TOT">#REF!</definedName>
    <definedName name="TOTAL">[23]CALIFO96!$A$1:$L$163</definedName>
    <definedName name="Total_Televisoras_RATINGS">#REF!</definedName>
    <definedName name="totalacexp">#REF!</definedName>
    <definedName name="totalacnal">#REF!</definedName>
    <definedName name="TRHBFG23">'[32]TC '!$A$8:$M$39</definedName>
    <definedName name="TTTT">#REF!</definedName>
    <definedName name="TUTUU">#REF!</definedName>
    <definedName name="TYPECAMBIO">'[32]TC '!$A$8:$M$39</definedName>
    <definedName name="U">#REF!</definedName>
    <definedName name="ubs">#REF!</definedName>
    <definedName name="UDES">#REF!</definedName>
    <definedName name="UFIN">[61]UFIN!#REF!</definedName>
    <definedName name="ufin1">#REF!</definedName>
    <definedName name="ufin2">[121]h!$W$137:$AI$210</definedName>
    <definedName name="ufin88">#REF!</definedName>
    <definedName name="ufiner">#REF!</definedName>
    <definedName name="ULTIMO">[122]INPC!$D$66</definedName>
    <definedName name="Unidades">[123]!Unidades</definedName>
    <definedName name="USD">#REF!</definedName>
    <definedName name="UT">#REF!</definedName>
    <definedName name="UTENTE1">"Intestazione!R7C2"</definedName>
    <definedName name="uti">#REF!</definedName>
    <definedName name="UTILIDAD">#REF!</definedName>
    <definedName name="UTILIDADES">#REF!</definedName>
    <definedName name="v">#REF!</definedName>
    <definedName name="VALES">#REF!</definedName>
    <definedName name="VALORAGRE">#REF!</definedName>
    <definedName name="VD">#REF!</definedName>
    <definedName name="VDIMSS">#REF!</definedName>
    <definedName name="VDISR">#REF!</definedName>
    <definedName name="VDSUELDOS">#REF!</definedName>
    <definedName name="vicky" hidden="1">{#N/A,#N/A,TRUE,"balance"}</definedName>
    <definedName name="VINCULO_OV">#REF!</definedName>
    <definedName name="vtcltexp">#REF!</definedName>
    <definedName name="vtcltnal">#REF!</definedName>
    <definedName name="vvc" hidden="1">#REF!</definedName>
    <definedName name="W">'[102]TC EURO 2007'!#REF!</definedName>
    <definedName name="wddfwdf">[48]INPC!$A$4:$M$57</definedName>
    <definedName name="wer">#REF!</definedName>
    <definedName name="wrn.Accrual." hidden="1">{"PageT1",#N/A,FALSE,"ACL363";"PageT1a",#N/A,FALSE,"ACL363";"PageT2",#N/A,FALSE,"ACL363";"PageT3",#N/A,FALSE,"ACL363";"PageT4",#N/A,FALSE,"ACL363";"PageR1",#N/A,FALSE,"ACL363";"Other",#N/A,FALSE,"ACL363"}</definedName>
    <definedName name="wrn.Aging._.and._.Trend._.Analysis." hidden="1">{#N/A,#N/A,FALSE,"Aging Summary";#N/A,#N/A,FALSE,"Ratio Analysis";#N/A,#N/A,FALSE,"Test 120 Day Accts";#N/A,#N/A,FALSE,"Tickmarks"}</definedName>
    <definedName name="wrn.BALANCE." hidden="1">{#N/A,#N/A,TRUE,"balance"}</definedName>
    <definedName name="wrn.Forecast._.Estados._.Financieros." hidden="1">{#N/A,#N/A,TRUE,"PL";#N/A,#N/A,TRUE,"cash";#N/A,#N/A,TRUE,"balance"}</definedName>
    <definedName name="wrn.IMPRESION." hidden="1">{"DEPN1",#N/A,TRUE,"depn";"DEPN2",#N/A,TRUE,"depn";"ACT1",#N/A,TRUE,"moact";"ACT2",#N/A,TRUE,"moact";"iva1",#N/A,TRUE,"moiva";"RVAS1",#N/A,TRUE,"rvas";"RVAS2",#N/A,TRUE,"rvas";"NODED",#N/A,TRUE,"noded"}</definedName>
    <definedName name="wwwwwww">#REF!,#REF!,#REF!,#REF!,#REF!,#REF!,#REF!,#REF!,#REF!</definedName>
    <definedName name="x" hidden="1">#REF!</definedName>
    <definedName name="XREF_COLUMN_1" hidden="1">'[124]Pagos Provisionales IVA 2006'!#REF!</definedName>
    <definedName name="XREF_COLUMN_10" hidden="1">#REF!</definedName>
    <definedName name="XREF_COLUMN_2" hidden="1">[125]Anexo_31!#REF!</definedName>
    <definedName name="XREF_COLUMN_20" hidden="1">'[126]ISPT - Asimilables'!#REF!</definedName>
    <definedName name="XREF_COLUMN_21" hidden="1">'[126]ISPT - Asimilables'!#REF!</definedName>
    <definedName name="XREF_COLUMN_22" hidden="1">'[126]ISPT - Asimilables'!#REF!</definedName>
    <definedName name="XREF_COLUMN_23" hidden="1">'[126]ISPT - Asimilables'!#REF!</definedName>
    <definedName name="XREF_COLUMN_24" hidden="1">'[126]ISPT - Asimilables'!#REF!</definedName>
    <definedName name="XREF_COLUMN_25" hidden="1">'[126]ISPT - Asimilables'!#REF!</definedName>
    <definedName name="XREF_COLUMN_3" hidden="1">[125]IngISR!#REF!</definedName>
    <definedName name="XREF_COLUMN_4" hidden="1">#REF!</definedName>
    <definedName name="XREF_COLUMN_5" hidden="1">[127]INPC!#REF!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'[124]Pagos Provisionales IVA 2006'!#REF!</definedName>
    <definedName name="XRefCopy19" hidden="1">'[124]Pagos Provisionales IVA 2006'!#REF!</definedName>
    <definedName name="XRefCopy1Row" hidden="1">#REF!</definedName>
    <definedName name="XRefCopy2" hidden="1">#REF!</definedName>
    <definedName name="XRefCopy20" hidden="1">'[128]B10 ACTIVO FIJO'!$K$242</definedName>
    <definedName name="XRefCopy20Row" hidden="1">#REF!</definedName>
    <definedName name="XRefCopy21" hidden="1">'[124]Pagos Provisionales IVA 2006'!#REF!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Row" hidden="1">#REF!</definedName>
    <definedName name="XRefCopy3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4" hidden="1">'[126]ISPT - Asimilables'!#REF!</definedName>
    <definedName name="XRefCopy34Row" hidden="1">#REF!</definedName>
    <definedName name="XRefCopy35" hidden="1">'[126]ISPT - Asimilables'!#REF!</definedName>
    <definedName name="XRefCopy35Row" hidden="1">#REF!</definedName>
    <definedName name="XRefCopy36" hidden="1">'[126]ISPT - Asimilables'!#REF!</definedName>
    <definedName name="XRefCopy36Row" hidden="1">#REF!</definedName>
    <definedName name="XRefCopy37" hidden="1">'[126]ISPT - Asimilables'!#REF!</definedName>
    <definedName name="XRefCopy37Row" hidden="1">#REF!</definedName>
    <definedName name="XRefCopy38" hidden="1">'[126]ISPT - Asimilables'!#REF!</definedName>
    <definedName name="XRefCopy38Row" hidden="1">#REF!</definedName>
    <definedName name="XRefCopy39" hidden="1">'[126]ISPT - Asimilables'!#REF!</definedName>
    <definedName name="XRefCopy39Row" hidden="1">#REF!</definedName>
    <definedName name="XRefCopy3Row" hidden="1">#REF!</definedName>
    <definedName name="XRefCopy4" hidden="1">#REF!</definedName>
    <definedName name="XRefCopy40" hidden="1">'[126]ISPT - Asimilables'!#REF!</definedName>
    <definedName name="XRefCopy40Row" hidden="1">#REF!</definedName>
    <definedName name="XRefCopy41" hidden="1">'[126]ISPT - Asimilables'!#REF!</definedName>
    <definedName name="XRefCopy41Row" hidden="1">#REF!</definedName>
    <definedName name="XRefCopy42" hidden="1">'[126]ISPT - Asimilables'!#REF!</definedName>
    <definedName name="XRefCopy42Row" hidden="1">#REF!</definedName>
    <definedName name="XRefCopy43" hidden="1">'[126]ISPT - Asimilables'!#REF!</definedName>
    <definedName name="XRefCopy43Row" hidden="1">#REF!</definedName>
    <definedName name="XRefCopy44" hidden="1">#REF!</definedName>
    <definedName name="XRefCopy44Row" hidden="1">[118]XREF!#REF!</definedName>
    <definedName name="XRefCopy45" hidden="1">#REF!</definedName>
    <definedName name="XRefCopy45Row" hidden="1">[118]XREF!#REF!</definedName>
    <definedName name="XRefCopy46" hidden="1">'[129]Acum. nom. por emp.'!$Z$137</definedName>
    <definedName name="XRefCopy46Row" hidden="1">[118]XREF!#REF!</definedName>
    <definedName name="XRefCopy47" hidden="1">'[129]Acum. nom. por emp.'!$AC$137</definedName>
    <definedName name="XRefCopy47Row" hidden="1">[118]XREF!#REF!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'[124]Pagos Provisionales IVA 2006'!#REF!</definedName>
    <definedName name="XRefCopy7Row" hidden="1">#REF!</definedName>
    <definedName name="XRefCopy8" hidden="1">'[124]Pagos Provisionales IVA 2006'!#REF!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" hidden="1">#REF!</definedName>
    <definedName name="XRefPaste10Row" hidden="1">#REF!</definedName>
    <definedName name="XRefPaste1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[130]RevAnalítica!#REF!</definedName>
    <definedName name="XRefPaste23" hidden="1">#REF!</definedName>
    <definedName name="XRefPaste2Row" hidden="1">#REF!</definedName>
    <definedName name="XRefPaste3" hidden="1">'[124]Pagos Provisionales IVA 2006'!#REF!</definedName>
    <definedName name="XRefPaste30" hidden="1">'[126]ISPT - Asimilables'!#REF!</definedName>
    <definedName name="XRefPaste30Row" hidden="1">#REF!</definedName>
    <definedName name="XRefPaste31" hidden="1">'[126]ISPT - Asimilables'!#REF!</definedName>
    <definedName name="XRefPaste31Row" hidden="1">#REF!</definedName>
    <definedName name="XRefPaste32" hidden="1">'[126]ISPT - Asimilables'!#REF!</definedName>
    <definedName name="XRefPaste32Row" hidden="1">#REF!</definedName>
    <definedName name="XRefPaste33" hidden="1">'[126]ISPT - Asimilables'!#REF!</definedName>
    <definedName name="XRefPaste33Row" hidden="1">#REF!</definedName>
    <definedName name="XRefPaste34" hidden="1">'[126]ISPT - Asimilables'!#REF!</definedName>
    <definedName name="XRefPaste34Row" hidden="1">#REF!</definedName>
    <definedName name="XRefPaste35" hidden="1">'[126]ISPT - Asimilables'!#REF!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8Row" hidden="1">#REF!</definedName>
    <definedName name="XRefPasteRangeCount" hidden="1">2</definedName>
    <definedName name="XXX" hidden="1">{#N/A,#N/A,FALSE,"Aging Summary";#N/A,#N/A,FALSE,"Ratio Analysis";#N/A,#N/A,FALSE,"Test 120 Day Accts";#N/A,#N/A,FALSE,"Tickmarks"}</definedName>
    <definedName name="y">#REF!</definedName>
    <definedName name="YEF">#REF!</definedName>
    <definedName name="YEF1">#REF!</definedName>
    <definedName name="YEF125">#REF!</definedName>
    <definedName name="YEF2">#REF!</definedName>
    <definedName name="YEN">#REF!</definedName>
    <definedName name="yg">#REF!</definedName>
    <definedName name="YHBJK9841">'[32]TC '!$A$8:$M$39</definedName>
    <definedName name="ytf">#REF!</definedName>
    <definedName name="ytrd">#REF!</definedName>
    <definedName name="YYY">#REF!</definedName>
    <definedName name="Z">#REF!</definedName>
    <definedName name="zona">#REF!</definedName>
    <definedName name="ZON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3" l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N29" i="1"/>
  <c r="D18" i="1"/>
  <c r="F8" i="3"/>
  <c r="G8" i="3" s="1"/>
  <c r="F7" i="3"/>
  <c r="F5" i="3"/>
  <c r="G5" i="3" s="1"/>
  <c r="G4" i="3"/>
  <c r="E7" i="3"/>
  <c r="G7" i="3" s="1"/>
  <c r="F6" i="3"/>
  <c r="D29" i="1"/>
  <c r="F11" i="1"/>
  <c r="F12" i="1" s="1"/>
  <c r="H12" i="1"/>
  <c r="E12" i="1"/>
  <c r="D12" i="1"/>
  <c r="C12" i="1"/>
  <c r="C21" i="1"/>
  <c r="C29" i="1"/>
  <c r="E29" i="1"/>
  <c r="G11" i="1" l="1"/>
  <c r="G12" i="1" s="1"/>
  <c r="N3" i="4"/>
  <c r="G6" i="3"/>
  <c r="F29" i="1"/>
  <c r="E21" i="1"/>
  <c r="I12" i="1"/>
  <c r="D21" i="1"/>
  <c r="F21" i="1" l="1"/>
  <c r="G29" i="1"/>
  <c r="G21" i="1"/>
  <c r="J12" i="1"/>
  <c r="H29" i="1" l="1"/>
  <c r="K12" i="1"/>
  <c r="I29" i="1" l="1"/>
  <c r="H21" i="1"/>
  <c r="L12" i="1"/>
  <c r="J29" i="1" l="1"/>
  <c r="I21" i="1"/>
  <c r="M12" i="1"/>
  <c r="K29" i="1" l="1"/>
  <c r="J21" i="1"/>
  <c r="N12" i="1"/>
  <c r="L29" i="1" l="1"/>
  <c r="K21" i="1"/>
  <c r="M29" i="1" l="1"/>
  <c r="L21" i="1"/>
  <c r="M21" i="1" l="1"/>
  <c r="N21" i="1" l="1"/>
</calcChain>
</file>

<file path=xl/sharedStrings.xml><?xml version="1.0" encoding="utf-8"?>
<sst xmlns="http://schemas.openxmlformats.org/spreadsheetml/2006/main" count="83" uniqueCount="70">
  <si>
    <t>Concepto</t>
  </si>
  <si>
    <t>Saldo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</si>
  <si>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</si>
  <si>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</si>
  <si>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</si>
  <si>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</si>
  <si>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</si>
  <si>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</si>
  <si>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</si>
  <si>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</si>
  <si>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</si>
  <si>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</si>
  <si>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</si>
  <si>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</si>
  <si>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Activos</t>
  </si>
  <si>
    <t>Crédito / Deuda</t>
  </si>
  <si>
    <t>Cuenta de cheques en USD</t>
  </si>
  <si>
    <t>Cuenta de cheques en MXN</t>
  </si>
  <si>
    <t>Determinación del Ajuste Anual por Inflación</t>
  </si>
  <si>
    <t>Activos en USD:</t>
  </si>
  <si>
    <t>Activos en MXN:</t>
  </si>
  <si>
    <t>Préstamos funcionarios y empleados</t>
  </si>
  <si>
    <t>Pagos provisionales ISR</t>
  </si>
  <si>
    <t>Caja</t>
  </si>
  <si>
    <t>Total en USD</t>
  </si>
  <si>
    <t>Total en MXN</t>
  </si>
  <si>
    <t>Pasivos</t>
  </si>
  <si>
    <t>Cuentas por cobrar a clientes (facturadas)</t>
  </si>
  <si>
    <t>Pasivos en MXN:</t>
  </si>
  <si>
    <t>Préstamos bancarios</t>
  </si>
  <si>
    <t>Cuentas por cobrar a clientes en USD</t>
  </si>
  <si>
    <t>EJERCICIO DEDUCCIONES AUTORIZADAS</t>
  </si>
  <si>
    <t>Préstamos de accionistas extranjeros</t>
  </si>
  <si>
    <t>Tipo de Activo</t>
  </si>
  <si>
    <t>Clasificación</t>
  </si>
  <si>
    <t>Fecha compra</t>
  </si>
  <si>
    <t>Fecha uso</t>
  </si>
  <si>
    <t>Precio compra</t>
  </si>
  <si>
    <t>Terreno</t>
  </si>
  <si>
    <t>Mobiliario y equipo</t>
  </si>
  <si>
    <t>Construcciones</t>
  </si>
  <si>
    <t>Ingresos acumulables mensuales</t>
  </si>
  <si>
    <t xml:space="preserve">ene 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</si>
  <si>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</si>
  <si>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</si>
  <si>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</si>
  <si>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</si>
  <si>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</si>
  <si>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</si>
  <si>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</si>
  <si>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</si>
  <si>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</si>
  <si>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</si>
  <si>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</si>
  <si>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Automóviles híbridos (2)</t>
  </si>
  <si>
    <t>Automóviles (3)</t>
  </si>
  <si>
    <t>IVA</t>
  </si>
  <si>
    <t>Total pagado en compra</t>
  </si>
  <si>
    <t>Saldo a favor de IVA por recuperar</t>
  </si>
  <si>
    <t>Ejercicio 2024</t>
  </si>
  <si>
    <t>MOI</t>
  </si>
  <si>
    <t>Tasa</t>
  </si>
  <si>
    <t>Depreciación mensual</t>
  </si>
  <si>
    <t>Depreciación anual</t>
  </si>
  <si>
    <t>Meses uso</t>
  </si>
  <si>
    <t>Depreciación histórica</t>
  </si>
  <si>
    <t>INPC inicial</t>
  </si>
  <si>
    <t>INPC Final</t>
  </si>
  <si>
    <t>Depreciación actualizada</t>
  </si>
  <si>
    <t>Limite autos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</si>
</sst>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\-m\-yy;@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i/>
      <u/>
      <sz val="9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1">
    <xf numFmtId="0" fontId="0" fillId="0" borderId="0" xfId="0"/>
    <xf numFmtId="0" fontId="2" fillId="3" borderId="0" xfId="0" applyFont="1" applyFill="1"/>
    <xf numFmtId="0" fontId="1" fillId="3" borderId="0" xfId="0" applyFont="1" applyFill="1" applyAlignment="1">
      <alignment vertical="center"/>
    </xf>
    <xf numFmtId="165" fontId="4" fillId="3" borderId="0" xfId="2" applyNumberFormat="1" applyFont="1" applyFill="1"/>
    <xf numFmtId="0" fontId="4" fillId="3" borderId="0" xfId="0" applyFont="1" applyFill="1"/>
    <xf numFmtId="166" fontId="5" fillId="3" borderId="0" xfId="2" applyNumberFormat="1" applyFont="1" applyFill="1"/>
    <xf numFmtId="165" fontId="1" fillId="3" borderId="2" xfId="2" applyNumberFormat="1" applyFont="1" applyFill="1" applyBorder="1" applyAlignment="1" applyProtection="1">
      <alignment horizontal="center"/>
      <protection locked="0"/>
    </xf>
    <xf numFmtId="165" fontId="1" fillId="3" borderId="3" xfId="2" applyNumberFormat="1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165" fontId="1" fillId="3" borderId="5" xfId="2" applyNumberFormat="1" applyFont="1" applyFill="1" applyBorder="1" applyAlignment="1" applyProtection="1">
      <alignment horizontal="center"/>
      <protection locked="0"/>
    </xf>
    <xf numFmtId="165" fontId="1" fillId="3" borderId="6" xfId="2" applyNumberFormat="1" applyFont="1" applyFill="1" applyBorder="1" applyAlignment="1" applyProtection="1">
      <alignment horizont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5" fontId="4" fillId="3" borderId="8" xfId="0" applyNumberFormat="1" applyFont="1" applyFill="1" applyBorder="1" applyAlignment="1" applyProtection="1">
      <alignment horizontal="center"/>
      <protection locked="0"/>
    </xf>
    <xf numFmtId="15" fontId="4" fillId="3" borderId="9" xfId="0" applyNumberFormat="1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165" fontId="4" fillId="3" borderId="0" xfId="2" applyNumberFormat="1" applyFont="1" applyFill="1" applyBorder="1" applyAlignment="1">
      <alignment horizontal="right"/>
    </xf>
    <xf numFmtId="165" fontId="4" fillId="3" borderId="11" xfId="2" applyNumberFormat="1" applyFont="1" applyFill="1" applyBorder="1" applyAlignment="1">
      <alignment horizontal="right"/>
    </xf>
    <xf numFmtId="165" fontId="4" fillId="3" borderId="11" xfId="0" applyNumberFormat="1" applyFont="1" applyFill="1" applyBorder="1" applyAlignment="1" applyProtection="1">
      <alignment horizontal="left"/>
      <protection locked="0"/>
    </xf>
    <xf numFmtId="0" fontId="4" fillId="3" borderId="10" xfId="0" applyFont="1" applyFill="1" applyBorder="1"/>
    <xf numFmtId="0" fontId="1" fillId="3" borderId="10" xfId="0" applyFont="1" applyFill="1" applyBorder="1" applyAlignment="1" applyProtection="1">
      <alignment horizontal="left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165" fontId="1" fillId="3" borderId="0" xfId="2" applyNumberFormat="1" applyFont="1" applyFill="1" applyBorder="1" applyAlignment="1">
      <alignment horizontal="right"/>
    </xf>
    <xf numFmtId="165" fontId="1" fillId="3" borderId="11" xfId="2" applyNumberFormat="1" applyFont="1" applyFill="1" applyBorder="1" applyAlignment="1">
      <alignment horizontal="right"/>
    </xf>
    <xf numFmtId="165" fontId="4" fillId="3" borderId="11" xfId="1" applyNumberFormat="1" applyFont="1" applyFill="1" applyBorder="1" applyAlignment="1" applyProtection="1">
      <alignment horizontal="left"/>
      <protection locked="0"/>
    </xf>
    <xf numFmtId="165" fontId="4" fillId="3" borderId="0" xfId="1" applyNumberFormat="1" applyFont="1" applyFill="1" applyBorder="1" applyAlignment="1">
      <alignment horizontal="right"/>
    </xf>
    <xf numFmtId="165" fontId="4" fillId="3" borderId="11" xfId="1" applyNumberFormat="1" applyFont="1" applyFill="1" applyBorder="1" applyAlignment="1">
      <alignment horizontal="right"/>
    </xf>
    <xf numFmtId="165" fontId="4" fillId="3" borderId="14" xfId="1" applyNumberFormat="1" applyFont="1" applyFill="1" applyBorder="1" applyAlignment="1" applyProtection="1">
      <alignment horizontal="left"/>
      <protection locked="0"/>
    </xf>
    <xf numFmtId="165" fontId="4" fillId="3" borderId="12" xfId="1" applyNumberFormat="1" applyFont="1" applyFill="1" applyBorder="1" applyAlignment="1" applyProtection="1">
      <alignment horizontal="left"/>
      <protection locked="0"/>
    </xf>
    <xf numFmtId="165" fontId="4" fillId="3" borderId="14" xfId="1" applyNumberFormat="1" applyFont="1" applyFill="1" applyBorder="1" applyAlignment="1">
      <alignment horizontal="right"/>
    </xf>
    <xf numFmtId="165" fontId="4" fillId="3" borderId="12" xfId="1" applyNumberFormat="1" applyFont="1" applyFill="1" applyBorder="1" applyAlignment="1">
      <alignment horizontal="right"/>
    </xf>
    <xf numFmtId="165" fontId="1" fillId="3" borderId="11" xfId="1" applyNumberFormat="1" applyFont="1" applyFill="1" applyBorder="1" applyAlignment="1" applyProtection="1">
      <alignment horizontal="left"/>
      <protection locked="0"/>
    </xf>
    <xf numFmtId="165" fontId="1" fillId="3" borderId="0" xfId="1" applyNumberFormat="1" applyFont="1" applyFill="1" applyBorder="1" applyAlignment="1">
      <alignment horizontal="right"/>
    </xf>
    <xf numFmtId="165" fontId="1" fillId="3" borderId="11" xfId="1" applyNumberFormat="1" applyFont="1" applyFill="1" applyBorder="1" applyAlignment="1">
      <alignment horizontal="right"/>
    </xf>
    <xf numFmtId="165" fontId="4" fillId="3" borderId="15" xfId="1" applyNumberFormat="1" applyFont="1" applyFill="1" applyBorder="1" applyAlignment="1" applyProtection="1">
      <alignment horizontal="left"/>
      <protection locked="0"/>
    </xf>
    <xf numFmtId="43" fontId="2" fillId="3" borderId="0" xfId="0" applyNumberFormat="1" applyFont="1" applyFill="1"/>
    <xf numFmtId="0" fontId="2" fillId="3" borderId="7" xfId="0" applyFont="1" applyFill="1" applyBorder="1"/>
    <xf numFmtId="0" fontId="2" fillId="3" borderId="10" xfId="0" applyFont="1" applyFill="1" applyBorder="1" applyAlignment="1">
      <alignment horizontal="center"/>
    </xf>
    <xf numFmtId="0" fontId="4" fillId="3" borderId="0" xfId="0" applyFont="1" applyFill="1" applyAlignment="1" applyProtection="1">
      <alignment horizontal="left"/>
      <protection locked="0"/>
    </xf>
    <xf numFmtId="0" fontId="2" fillId="3" borderId="13" xfId="0" applyFont="1" applyFill="1" applyBorder="1" applyAlignment="1">
      <alignment horizontal="center"/>
    </xf>
    <xf numFmtId="165" fontId="4" fillId="3" borderId="0" xfId="1" applyNumberFormat="1" applyFont="1" applyFill="1" applyBorder="1" applyAlignment="1" applyProtection="1">
      <alignment horizontal="left"/>
      <protection locked="0"/>
    </xf>
    <xf numFmtId="165" fontId="1" fillId="3" borderId="0" xfId="0" applyNumberFormat="1" applyFont="1" applyFill="1" applyAlignment="1" applyProtection="1">
      <alignment horizontal="left"/>
      <protection locked="0"/>
    </xf>
    <xf numFmtId="165" fontId="1" fillId="3" borderId="0" xfId="1" applyNumberFormat="1" applyFont="1" applyFill="1" applyBorder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left"/>
      <protection locked="0"/>
    </xf>
    <xf numFmtId="165" fontId="4" fillId="3" borderId="0" xfId="0" applyNumberFormat="1" applyFont="1" applyFill="1" applyAlignment="1" applyProtection="1">
      <alignment horizontal="left"/>
      <protection locked="0"/>
    </xf>
    <xf numFmtId="0" fontId="2" fillId="3" borderId="5" xfId="0" applyFont="1" applyFill="1" applyBorder="1" applyAlignment="1">
      <alignment horizontal="center"/>
    </xf>
    <xf numFmtId="0" fontId="4" fillId="3" borderId="5" xfId="0" applyFont="1" applyFill="1" applyBorder="1" applyAlignment="1" applyProtection="1">
      <alignment horizontal="left"/>
      <protection locked="0"/>
    </xf>
    <xf numFmtId="165" fontId="4" fillId="3" borderId="15" xfId="2" applyNumberFormat="1" applyFont="1" applyFill="1" applyBorder="1" applyAlignment="1">
      <alignment horizontal="right"/>
    </xf>
    <xf numFmtId="165" fontId="4" fillId="3" borderId="14" xfId="0" applyNumberFormat="1" applyFont="1" applyFill="1" applyBorder="1" applyAlignment="1" applyProtection="1">
      <alignment horizontal="left"/>
      <protection locked="0"/>
    </xf>
    <xf numFmtId="165" fontId="4" fillId="3" borderId="14" xfId="2" applyNumberFormat="1" applyFont="1" applyFill="1" applyBorder="1" applyAlignment="1">
      <alignment horizontal="right"/>
    </xf>
    <xf numFmtId="165" fontId="4" fillId="3" borderId="12" xfId="0" applyNumberFormat="1" applyFont="1" applyFill="1" applyBorder="1" applyAlignment="1" applyProtection="1">
      <alignment horizontal="left"/>
      <protection locked="0"/>
    </xf>
    <xf numFmtId="0" fontId="8" fillId="0" borderId="0" xfId="0" applyFont="1"/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  <xf numFmtId="165" fontId="2" fillId="3" borderId="0" xfId="0" applyNumberFormat="1" applyFont="1" applyFill="1"/>
    <xf numFmtId="164" fontId="0" fillId="0" borderId="0" xfId="0" applyNumberFormat="1"/>
    <xf numFmtId="43" fontId="0" fillId="0" borderId="0" xfId="0" applyNumberFormat="1"/>
    <xf numFmtId="0" fontId="9" fillId="0" borderId="0" xfId="0" applyFont="1" applyAlignment="1">
      <alignment horizontal="center"/>
    </xf>
    <xf numFmtId="14" fontId="0" fillId="0" borderId="0" xfId="1" applyNumberFormat="1" applyFont="1"/>
    <xf numFmtId="0" fontId="9" fillId="0" borderId="0" xfId="0" applyFont="1" applyAlignment="1">
      <alignment horizontal="center" vertical="center" wrapText="1"/>
    </xf>
    <xf numFmtId="164" fontId="9" fillId="0" borderId="0" xfId="1" applyFont="1"/>
    <xf numFmtId="9" fontId="0" fillId="0" borderId="0" xfId="0" applyNumberFormat="1"/>
    <xf numFmtId="164" fontId="9" fillId="0" borderId="0" xfId="0" applyNumberFormat="1" applyFont="1"/>
    <xf numFmtId="165" fontId="9" fillId="0" borderId="0" xfId="0" applyNumberFormat="1" applyFont="1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</cellXfs>
  <cellStyles count="6">
    <cellStyle name="Millares" xfId="1" builtinId="3"/>
    <cellStyle name="Millares 12 3 31 2" xfId="2" xr:uid="{5A7E467A-21DB-4812-B007-B2B9C86A628B}"/>
    <cellStyle name="Millares 12 3 31 2 2" xfId="5" xr:uid="{AD214656-DB7E-4E81-AD0D-0CEBF53FBEB1}"/>
    <cellStyle name="Millares 17 3" xfId="3" xr:uid="{E87DBB6D-073A-4D15-8642-F01891284F0E}"/>
    <cellStyle name="Millares 6 4" xfId="4" xr:uid="{5876DF28-88B9-4AAC-BD14-67D1DCA9FA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9.xml"/><Relationship Id="rId84" Type="http://schemas.openxmlformats.org/officeDocument/2006/relationships/externalLink" Target="externalLinks/externalLink80.xml"/><Relationship Id="rId138" Type="http://schemas.openxmlformats.org/officeDocument/2006/relationships/calcChain" Target="calcChain.xml"/><Relationship Id="rId16" Type="http://schemas.openxmlformats.org/officeDocument/2006/relationships/externalLink" Target="externalLinks/externalLink12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28" Type="http://schemas.openxmlformats.org/officeDocument/2006/relationships/externalLink" Target="externalLinks/externalLink124.xml"/><Relationship Id="rId5" Type="http://schemas.openxmlformats.org/officeDocument/2006/relationships/externalLink" Target="externalLinks/externalLink1.xml"/><Relationship Id="rId90" Type="http://schemas.openxmlformats.org/officeDocument/2006/relationships/externalLink" Target="externalLinks/externalLink86.xml"/><Relationship Id="rId95" Type="http://schemas.openxmlformats.org/officeDocument/2006/relationships/externalLink" Target="externalLinks/externalLink91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18" Type="http://schemas.openxmlformats.org/officeDocument/2006/relationships/externalLink" Target="externalLinks/externalLink114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08" Type="http://schemas.openxmlformats.org/officeDocument/2006/relationships/externalLink" Target="externalLinks/externalLink104.xml"/><Relationship Id="rId124" Type="http://schemas.openxmlformats.org/officeDocument/2006/relationships/externalLink" Target="externalLinks/externalLink120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91" Type="http://schemas.openxmlformats.org/officeDocument/2006/relationships/externalLink" Target="externalLinks/externalLink87.xml"/><Relationship Id="rId96" Type="http://schemas.openxmlformats.org/officeDocument/2006/relationships/externalLink" Target="externalLinks/externalLink9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35" Type="http://schemas.openxmlformats.org/officeDocument/2006/relationships/theme" Target="theme/theme1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109" Type="http://schemas.openxmlformats.org/officeDocument/2006/relationships/externalLink" Target="externalLinks/externalLink10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100.xml"/><Relationship Id="rId120" Type="http://schemas.openxmlformats.org/officeDocument/2006/relationships/externalLink" Target="externalLinks/externalLink116.xml"/><Relationship Id="rId125" Type="http://schemas.openxmlformats.org/officeDocument/2006/relationships/externalLink" Target="externalLinks/externalLink121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15" Type="http://schemas.openxmlformats.org/officeDocument/2006/relationships/externalLink" Target="externalLinks/externalLink111.xml"/><Relationship Id="rId131" Type="http://schemas.openxmlformats.org/officeDocument/2006/relationships/externalLink" Target="externalLinks/externalLink127.xml"/><Relationship Id="rId136" Type="http://schemas.openxmlformats.org/officeDocument/2006/relationships/styles" Target="styles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116" Type="http://schemas.openxmlformats.org/officeDocument/2006/relationships/externalLink" Target="externalLinks/externalLink112.xml"/><Relationship Id="rId137" Type="http://schemas.openxmlformats.org/officeDocument/2006/relationships/sharedStrings" Target="sharedStrings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90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26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</xdr:row>
      <xdr:rowOff>76199</xdr:rowOff>
    </xdr:from>
    <xdr:to>
      <xdr:col>8</xdr:col>
      <xdr:colOff>38100</xdr:colOff>
      <xdr:row>40</xdr:row>
      <xdr:rowOff>7620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99D422F-94CA-48CE-BA5F-CD4654C4B96B}"/>
            </a:ext>
          </a:extLst>
        </xdr:cNvPr>
        <xdr:cNvSpPr txBox="1"/>
      </xdr:nvSpPr>
      <xdr:spPr>
        <a:xfrm>
          <a:off x="247650" y="441959"/>
          <a:ext cx="8660130" cy="6880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u="sng"/>
            <a:t>Instrucciones</a:t>
          </a:r>
        </a:p>
        <a:p>
          <a:r>
            <a:rPr lang="es-MX" sz="1100"/>
            <a:t>Determine las deducciones autorizadas, resultado</a:t>
          </a:r>
          <a:r>
            <a:rPr lang="es-MX" sz="1100" baseline="0"/>
            <a:t> fiscal e impuesto sobre la renta a cargo</a:t>
          </a:r>
          <a:r>
            <a:rPr lang="es-MX" sz="1100"/>
            <a:t> de 2025 considerando</a:t>
          </a:r>
          <a:r>
            <a:rPr lang="es-MX" sz="1100" baseline="0"/>
            <a:t> los siguientes datos:</a:t>
          </a:r>
        </a:p>
        <a:p>
          <a:endParaRPr lang="es-MX" sz="1100" baseline="0"/>
        </a:p>
        <a:p>
          <a:r>
            <a:rPr lang="es-MX" sz="1100" baseline="0"/>
            <a:t>1. Donativos no onerosos ni remunerativos al Sistema Nacional para el Desarrollo Integral de la Familia (DIF) por $500,000 pesos. Asumir ingresos 2023 y utilidad fiscal 2023 de $50 millones de pesos y $10 millones, respectivamente. En 2024 se incurrió en una pérdida fiscal de 7,500,000 pesos.</a:t>
          </a:r>
        </a:p>
        <a:p>
          <a:r>
            <a:rPr lang="es-MX" sz="1100" baseline="0"/>
            <a:t>2. Se recibió la factura de los honorarios por $1,350,000 pesos por asesoría fiscal prestada al a Compañía por CONTADORES, S.C.; la factura no ha sido pagada. Esta compañía acumula los ingresos al cobro.</a:t>
          </a:r>
        </a:p>
        <a:p>
          <a:r>
            <a:rPr lang="es-MX" sz="1100" baseline="0"/>
            <a:t>3. Se recibió la factura por servicios de asesoría estratégica de negocios prestados por una parte relacionada en cantidad de $2,000,000 pesos. El estudio de precios de transferencia determinó que el valor de mercado de la contraprestación debió ser de $1,500,000 pesos.</a:t>
          </a:r>
        </a:p>
        <a:p>
          <a:r>
            <a:rPr lang="es-MX" sz="1100" baseline="0"/>
            <a:t>4. Se provisionaron gastos generales en cantidad de $750,000 pesos y se crearon provisiones por gratificaciones al personal en cantidad de $2,500,000 pesos (bonos de empleados).</a:t>
          </a:r>
        </a:p>
        <a:p>
          <a:r>
            <a:rPr lang="es-MX" sz="1100" baseline="0"/>
            <a:t>5. Se pagó nómina en cantidad de $20,000,000 pesos, los cuales representaron $17,500,000 pesos de ingresos gravados para los empleados y $2,500,000 exentos. En 2025 se redujeron las prestaciones exentas de los trabajadores respecto de 2024.</a:t>
          </a:r>
        </a:p>
        <a:p>
          <a:r>
            <a:rPr lang="es-MX" sz="1100" baseline="0"/>
            <a:t>6. Se otorgó la prestación de club deportivo a todos los empleados con un nivel gerencial o superior; el gasto correspondiente ascendió a $750,000 pesos.</a:t>
          </a:r>
        </a:p>
        <a:p>
          <a:r>
            <a:rPr lang="es-MX" sz="1100" baseline="0"/>
            <a:t>7. Se pagaron primas por seguros de los automóviles del personal administrativo por $100,000 pesos. La tenencia y gastos de mantenimiento de dichos autos ascendió a $60,000 y $25,000 pesos, respectivamente.</a:t>
          </a:r>
        </a:p>
        <a:p>
          <a:r>
            <a:rPr lang="es-MX" sz="1100" baseline="0"/>
            <a:t>8. Se pagaron honorarios a 2 miembros del consejo de administración en cantidad de $3,000,000 pesos a cada uno. El sueldo del director general ascendió a $2,000,000 pesos.</a:t>
          </a:r>
        </a:p>
        <a:p>
          <a:r>
            <a:rPr lang="es-MX" sz="1100" baseline="0"/>
            <a:t>9. El gasto del comedor ejecutivo exclusivo para la alta gerencia de la Compañía ascendió a $850,000 pesos.</a:t>
          </a:r>
        </a:p>
        <a:p>
          <a:r>
            <a:rPr lang="es-MX" sz="1100" baseline="0"/>
            <a:t>10. Se mantuvieron las inversiones detalladas en la pestaña "Inversiones"; determinar la depreciación correspondiente.</a:t>
          </a:r>
        </a:p>
        <a:p>
          <a:r>
            <a:rPr lang="es-MX" sz="1100" baseline="0"/>
            <a:t>11. Se devengaron intereses a cargo de la Compañía por préstamos recibidos de accionistas residentes en el extranjero por $3 millones de pesos y $7,800,000 pesos de intereses a cargo por préstamos bancarios.</a:t>
          </a:r>
        </a:p>
        <a:p>
          <a:r>
            <a:rPr lang="es-MX" sz="1100" baseline="0"/>
            <a:t>12. Los intereses a favor de la Compañía ascendieron a $1,500,000 pesos durante todo el año.</a:t>
          </a:r>
        </a:p>
        <a:p>
          <a:r>
            <a:rPr lang="es-MX" sz="1100" baseline="0"/>
            <a:t>13. El capital contable al inicio del ejercicio es de 30,000,000 pesos y al final 33,000,000 pesos. </a:t>
          </a:r>
        </a:p>
        <a:p>
          <a:r>
            <a:rPr lang="es-MX" sz="1100" baseline="0"/>
            <a:t>14. Los ingresos acumulables del ejercicio ascendieron a $73,800,000 pesos.</a:t>
          </a:r>
        </a:p>
        <a:p>
          <a:r>
            <a:rPr lang="es-MX" sz="1100" baseline="0"/>
            <a:t>15. La Compañía pertenece a un grupo empresarial y le corresponden $50,000 pesos de la exención de la limitante de intereses referida la UFIA. </a:t>
          </a:r>
        </a:p>
        <a:p>
          <a:r>
            <a:rPr lang="es-MX" sz="1100" baseline="0"/>
            <a:t>16. La Compañía se dedica a otorgar en arrendamiento naves industriales.</a:t>
          </a:r>
        </a:p>
        <a:p>
          <a:endParaRPr lang="es-MX" sz="1100" baseline="0"/>
        </a:p>
        <a:p>
          <a:r>
            <a:rPr lang="es-MX" sz="1100" b="1" baseline="0"/>
            <a:t>Determinar el ingreso o la deducción por el ajuste anual por inflación con los datos señalados en la pestaña siguiente.</a:t>
          </a:r>
        </a:p>
        <a:p>
          <a:r>
            <a:rPr lang="es-MX" sz="1100" b="1" baseline="0"/>
            <a:t>Calcula los pagos provisionales con los siguientes datos:</a:t>
          </a:r>
        </a:p>
        <a:p>
          <a:r>
            <a:rPr lang="es-MX" sz="1100" b="1" baseline="0"/>
            <a:t> </a:t>
          </a:r>
        </a:p>
        <a:p>
          <a:r>
            <a:rPr lang="es-MX" sz="1100"/>
            <a:t>Declaración anual 2024 presentada en enero 2025:</a:t>
          </a:r>
        </a:p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Ingresos nominales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2024:   42 millones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 fiscal 2024: 7.5 millones</a:t>
          </a:r>
          <a:endParaRPr lang="es-MX">
            <a:effectLst/>
          </a:endParaRPr>
        </a:p>
        <a:p>
          <a:endParaRPr lang="es-MX" sz="1100"/>
        </a:p>
        <a:p>
          <a:r>
            <a:rPr lang="es-MX" sz="1100"/>
            <a:t>Ingresos nominales</a:t>
          </a:r>
          <a:r>
            <a:rPr lang="es-MX" sz="1100" baseline="0"/>
            <a:t> 2023:   50 millones</a:t>
          </a:r>
        </a:p>
        <a:p>
          <a:r>
            <a:rPr lang="es-MX" sz="1100" baseline="0"/>
            <a:t>Utilidad fiscal 2023: 10 millones</a:t>
          </a:r>
          <a:endParaRPr lang="es-MX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EJE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GRUP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NTE~1.V\PERDID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ML%2051521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Local%20Settings\Temporary%20Internet%20Files\OLKCD\Ajuste%20anual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SME\LDB\AJUSTE%20LDB%202011_SM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7\Apalachas%202005187\Apalachas%202005187%202007%20ACCION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EMA\Balhint%202011\BALHINT%202011%20A%20JUN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%20-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JOVANY-GARCIA\My%20Documents\EMA\LDB%202011\AJUSTE%20LDB%2020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GUZMAN\Mis%20documentos\MsOffice\Excel\Promotur\Costos%20Traslado%20de%20Dominio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&#241;a_paola\crc%20ene-jun%2009\Documents%20and%20Settings\JGARCIA\Configuraci&#243;n%20local\Archivos%20temporales%20de%20Internet\OLK349\LZT%20AJUSTE%202007%20(COTEJADO%20RAMA)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-c-fernand\hgl\DECLARACIONES%20ANUALES%20PF\HENRY%20DAVIS%20DEF\CITI%2035179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A%202007\MAA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Gerardo\Configuraci&#243;n%20local\Archivos%20temporales%20de%20Internet\Content.IE5\YHQJ6D89\JULIETTA%20NAGELL%20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nchez-maurici\jcr\Documents%20and%20Settings\HSTEFFANI\Mis%20documentos\DEFINITIVO\LCS\Declaraciones\Roberto%20Albarran\CAP%20IX\Sr.%20Albarr&#225;n_YR-620750%20-%20CAP%20I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spinosa-aline\Users\crc\Documents%20and%20Settings\IXESPINOSA\Mis%20documentos\AEM\BALHINT\BALHINT%202010%20A%20VERSION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guzman\HSalazar\2003\Fiscal\PROMOTUR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PUEJGOME10708\aws\Documents%20and%20Settings\All%20Users\Documents\AWS\Engagements\Fedral%20Mogul%20Pistones%20SA%20de%20CV\Auditor&#237;a%20de%20estados%20financieros%202003\Documents\A-9%20U.1%20Ingresos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Grupo%20Alden%202003\Activo%20fijo%20y%20B-10\Irapuato\c&#233;dula%20movimientos%20activo%20fijo%2003%20irapua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aayala002\My%20Documents\2001\Comerica%20M&#233;xico\noviembreMEXICO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GERARDO\CREDITOS\BAC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daniel\lcs\Documents%20and%20Settings\DRAMIREZ\Configuraci&#243;n%20local\Archivos%20temporales%20de%20Internet\Content.Outlook\L8YKI7B5\ajuste%20anual%20Roberto%20Albarran%2008%20Cap%20I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9\Edosfin\Italia\Tagetik\USAMEX1009%20Tageti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IMPUESTOS%20FEDERALES\2005\TACA\RESULTADO%20FISCAL\TACA%20CCF%20DIC%2005%20(4ta%20version%20jun%2006,%20daff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Declaracion%20anual%201999\Act.%20Fijo%201999\ECOMP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-daniel\Users\Documents%20and%20Settings\LVAZQUEZ\Mis%20documentos\RAD\DEACERO\GPR%20-%20Costo%20Fiscal%20de%20Acciones%20al%204%20de%20septiembre%20de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2009%20JCF\GORAN\ML%20515219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Configuraci&#243;n%20local\Archivos%20temporales%20de%20Internet\OLKAE\DB%2002JDA340467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jlsilva\Mis%20documentos\LZT%202007%20417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RUZ_OMAR\Users\Documents%20and%20Settings\fmoguel\Configuraci&#243;n%20local\Archivos%20temporales%20de%20Internet\Content.Outlook\JZUVOOPR\Intereses%20y%20Dividendos%20Dolore,%20Damkasham,%20Chicago,%20etc...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opez_oscar\OLV\Sres.%20Esteve%20Recolons%20Ajuste%20Anual%20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BAVE1203BALANZ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1999\EJER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col_enriq\limpio%20eperez\Jul-Dic%2006\Costos\SUPERGAS\Costo%20Supergas.actual%20nov%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CRZ-07\Files\STAFF\Hamed%20Jessica\CRC%20MAU%20SANCHEZ\C&#225;lculos\FAMILIA%20ALBARRAN\Leticia%20Albarran\Leticia%20Campillo%20Andrew\Declaracion%20Henry%20Bremond%20Pellat%2020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________ALDEN\_________Grupo%20Alden%202004\Activo%20Fijo\Irapuato\Depreciaci&#243;n%20mensual%20irapua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mpa&#241;&#237;as%202001\NCR\final\Compa&#241;&#237;as%202000\Carrier\final\Clientes%20PWC\Carrier99\B-10\REPOMO99%20xl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ARRILLO\Mis%20documentos\MCC\H.%20Steele\INDUSTRIAS%20CUFIN%20RUFIN%20Y%20CUCA%20CONSERVADOR%20(VERSION%2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illagomez_osca\asignaci&#243;n%20ovd\Asignaci&#243;n%20OVD\Documents%20and%20Settings\SDIAZ\Configuraci&#243;n%20local\Archivos%20temporales%20de%20Internet\Content.Outlook\DHRLNLQD\CFA%20-%20Accionist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sdc001\service$\ADB\AFC\ipo\KPMG\ETL\CE%20gestionale\FILA%20HISPANIA\ChartofAccount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8.1.21\Asoc-Staff\HMR\AST\IDESA\CFA%20Corporaci&#243;n%20Scribe,%20S.A.P.I.%20de%20C.V.%20sin%20Aumento%20K%20y%20sin%20pago%20dividendos%20VF%2001-Jun-20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rz\Ajuste%20Catalina%20San%20Roman%2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Sergio\Mis%20documentos\EXPEDIENTE%20FISCAL\CURSOS\FISCAL\2006%20ISR%20TACUBAY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windows\TEMP\CONSOL%2000\AGS%20CONSOL%20B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faperez/APJ/CESA/CUFIN%20CES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ITRIX\CONTABLE\DIXON\2003\Costos\Importaciones\VARIACIONES%20NOV%2020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ias'99\FERTIMUNDO\ANU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PCOBO\Local%20Settings\Temporary%20Internet%20Files\OLK1\RAD\2008\COSTOS\Deacero\CFA%20DEACERO%20VMP%20anterio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BAJO\EXCEL\CALCMCB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2\Consolid%20Fiscal\PTOISR%20Gpo%20Sep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Documents%20and%20Settings\jfragoso.CORPCHEVEZ\Mis%20documentos\RESPALDO%20CRZ\jfragoso\MARCO%20ANTONIO\COSTOS\COSTO%20FISCAL%20DE%20ACCIONES%20CIM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TAFF/Fragoso%20Juan/MARCO%20POLO%202/COSTO%20FINANCIERA%20INDEPENDENCI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Grupo%20Alden%202003\Alden%20Servicio%20Irapuato\Activo%20Fijo%20y%20B-10\c&#233;dula%20movimientos%20jul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____Grupo%20Alden%202004\Activo%20Fijo\Irapuato\Depreciaci&#243;n%20mensual%20irapuat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s%20de%20Paco\Grupo%20MEXICO\2003\Planeacion\Informacion%20de%20la%20Cia\Informacion%20recibida\Inf.%20Financiera\EDOS.FIN.CONS.09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RMEZA.CORPCHEVEZ\Mis%20documentos\MCC\DECLARACIONES\LZT%20AJUSTE%2020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CARRILLO\Configuraci&#243;n%20local\Archivos%20temporales%20de%20Internet\OLK9\JORGE%20ALONSO%20(DEDUCCIONES%20Y%20CTA%20CHASE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nts%20and%20Settings\RROJAS\Mis%20documentos\rimsa\COSTO%20FISCAL%20XTRA%20TEXTIL%20COTEJO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~1\RROJAS\CONFIG~1\Temp\WPDNSE\RIMSA\my%20documents\xls\balance1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Auditorias\Cumpas\Compa&#241;&#237;a\FORMATO-D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_daniel\Asignaci&#243;n%20Ene-Jun%202007\WINNT\temp\DIVIDENDOS%20DECRETADOS%20Y%20PERCIBIDOS%20TORR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nelope\D\AUDITORIA%202003\04BAVE1202BALANZA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ARODRIGUEZ/Documents/CRZ%202014/Manuel%20Arceo%20Labandera/CP%20Manuel%20Arceo%20Labandera%202009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Users/Alex/AppData/Local/Microsoft/Windows/Temporary%20Internet%20Files/Content.Outlook/X4WQNT64/Template%205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fnunezg\Mis%20documentos\PAD%20-%202012%20(1)\Declaraciones\Fam.%20del%20Valle\FVP\FVP%20-%20AAI%20201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ites/team-CRZ/Shared%20Documents/JRL/2022/Vitro/Declaraciones%202021/3.%20Chelton%20VF/1.%20Chelton%202021%20Julius%20DIC%20VF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RCENAS\Mis%20documentos\ETG\COSTO_PERDIDA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Read-Only)%20Step%20-%20C&#225;lculo%20del%20B-10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users\RMEZA\Documents\RAMA\COMPARTIDA%20(2009)\ASIGNACI&#211;N%20ENE-JUN%2011\Costos\COSTO%20FISCAL%20Inmobiliaria%20Futurear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amireze\My%20Documents\My%20documents\O'FARRIL\2001\Final\TAX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%202001\Comerica%20M&#233;xico\FEBREROMEXICO2001can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jrobles\APJ\Compin_Del%20Valle_FINAL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staff\jrobles\APJ\Compin_Del%20Valle_FINA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faperez\CFC\HOLCIM\CUFIN%20APASCO,%20S.A.%20DE%20C%20.V.%20(ESCENARIO%20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JLMOLINA/COSTOS%20TOTALES%20GRUPO%20RADIO%20CENTRO/ejemplo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CARRILLO/Mis%20documentos/MCC/H.%20Steele/INDUSTRIAS%20CUFIN%20RUFIN%20Y%20CUCA%20CONSERVADOR%20(VERSION%20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%20GASREGIO%20PRELIMINA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AGUILARG.CORPCHEVEZ/Mis%20documentos/COSTO%20ALMACENADORA%20KN%20SA%20DE%20CV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hector\crc\STAFF\Vazquez%20Luis\CRC%20compartida\Ene-jul%202011\C&#225;lculos\Declaraciones%20anuales%20PF\Leticia%20Albarran\REFIPRE%20AJUSTE%202010%20LAC%208051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Garcia%20Miguel%20A\apalachas%202006\Merrill%20Lynch%20442496%20(2006)%20Acciones%20junio%2006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addad_alejandr\aha\CALCULOS\COSTOS%20CADBURY%20FINALES\CADfinal%20sin%20cost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LENZUELA-EDUA\Documents\EVA2012\Lockton\C&#225;lculo%20LCA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leon/ND%20Office%20Echo/VAULT-NHFELUMX/backup/Suveza%202020%20(Julius)%20-%20Walter%20VF((Unsaved-01_03_2021%2010_06_57%20p.%20m.))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EPC\Documents%20and%20Settings\Propietario\Escritorio\COSTOS%20GONDI\COSTO%20FIN%20INDEP%20(MCC)\ULTIMO%20COSTO%20FINANCIERA%20INDEPENDENCI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eras_jose\EPG\Documents%20and%20Settings\OSY_40\Local%20Settings\Temporary%20Internet%20Files\OLKB3\Copia%20de%20Costo%20Fiscal%20ultima%20version%202%20JULIO%202003%20(2)%20CON%20UFIN%20NEGATIVA%20DOBLETEAD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BARCENAS/Mis%20documentos/ETG/COSTO_PERDIDA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staff\jrobles\APJ\Compin_Del%20Valle_FINAL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\Comerica%20Mty\DICMTY2000ajust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2101%20Papel%20de%20trabajo%20para%20Sipred%202003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2%20Revisi&#243;n%20de%20n&#243;minas%20afusa%20%20%20borrar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Osy40\shareddocs\Grupo%20Posadas%20Desconsolidaci&#243;n\Compa&#241;&#237;a%20Proveedora%20Hotelera\CUFIN%20COMPA&#209;&#205;A%20PROVEEDORA%20HOTELER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REJON/PU&#209;A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8411%20Revisi&#243;n%20de%20N&#243;mina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rios\LAJOUS.COM.99.FID.DEF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rad%20compartida\staff\faperez\APJ\CESA\CUFIN%20CESA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Files\Apps\Gmexico\Retrieve\rcomcan\RAZONE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stiglas\Rev,Dep%20de%20activo%20fijo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mvn%20ene-jun%202007\Documents%20and%20Settings\DIRIARTE.CORPCHEVEZ.000\Mis%20documentos\diriarte\DECLARACION%20ALBERTO%20SABA%202005\OPCIONES\Alberto%20Saba%20Raffoul%20OPCIONES%20MIDDLE%20122129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6\APALACHAS%20CITI%20PRIVATE%20BANK\Ajustes%202007\Citi%20Private%20Bank%20Dallas%20%20AJUSTE%20PORTAFOLIO%201%20-%20200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CALCULOS%20APALACHAS\APALACHAS%207299301\JPMorgan%20Suisse%207299301%20ACCIONES%20VERSION%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Yeny\Ara\530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Revisi&#243;n%20directa%20de%20activo%20fijo%20al%2031-dic-9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IXON\2001\Fiscal\Comcred2001D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ocuments%20and%20Settings\esanchez\Mis%20documentos\TABLA%20DE%20CONVERSIONES%20COMPLETA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Luis\Mis%20Documentos\Proyectos\Stocks\Analisis%20Stocks\2007\Cobertura%20Stocks%20(301107)(PROVISIONOBSOLETOS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Mis%20documentos\Equipo%20MCC\VARIOS\ACCIONES%20AZCARRAGA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-my.sharepoint.com/personal/mpcampos_chevez_com_mx/Documents/Documents/0.%20C&#225;lculos%202020/2.%20Fanguard/2.%20Fanguard%20GQ%202020%20(J.%20Safra%20Sarasin)%20cuenta%205708%20(MPC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Local%20Settings\Temporary%20Internet%20Files\Content.Outlook\XRQL43O3\Declaraci&#243;n%20F%20Cloud%2020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evallos_enriqu\eco%20asignacion%20(e-j%202010)\Documents%20and%20Settings\jreyes\Mis%20documentos\CHEVEZ\OTRAS%20ASIGNACIONES\claudio%20rivas\Compartida\Declaraciones\Sra.%20Ladelsky\DECLARACION%20YAEL%20LADELSKY%20DE%20FINKELSTEIN%202006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odriguez_aldo\aorr\Documents%20and%20Settings\MBRITO\Mis%20documentos\CRC\Ajuste%20Goran%20Investments\Morgan%20Stanely%2004-7628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BIBERRI\Configuraci&#243;n%20local\Archivos%20temporales%20de%20Internet\OLK1\Morgan%20Stanley%2032-WAAEB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jobarrera\My%20Documents\CALCULOS%20DE%20ART%2080%20LISR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Proveedores\2004\E&amp;Y%202004%20Campeche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.MOLINO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users\xls\NOMINAS%20DAFN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OMINA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Book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ycarrillo\Local%20Settings\Temporary%20Internet%20Files\OLK68\WINDOWS\TEMP\Archivos%20Excel\C.%20Fiscal%20Inmob.%20Celaya%20Naegeli%20Harold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Jojeda\Mis%20documentos\JUAN%20JOSE\AA%20RIMSA\FISCAL%202007\CUFINES\CUFIN%20RIMS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WINDOWS\TEMP\BDFISCA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utilo_gonzalez\Mis%20documentos\Libro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10%20Conciliaci&#243;n%20contable%20fiscal%20al%2031%20de%20diciembre%20de%201999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2%20Revisi&#243;n%20Amarr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Impuestos\RIMSA\Fiscal%202008\Activo%20fijo,%20bajas%20y%20depreciaciones\Determinaci&#243;n%20de%20la%20ganancia%20o%20p&#233;rdida%20fiscal%20por%20enajenaci&#243;n%20de%20inmueble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5%20Sumaria%20de%20Gastos%20de%20Operaci&#243;n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Danae\QST%20INDUSTRIAS,%20S.A.%20DE%20C.V\Book18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NOMINAS%20SERVICES%202002%20%20(COPIA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Resultado%20fiscal%20Combined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GP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EIAPINF"/>
      <sheetName val="PRODSFIN"/>
      <sheetName val="COINCRED"/>
      <sheetName val="CSSPSFIN"/>
      <sheetName val="PROB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USD 07"/>
      <sheetName val="TC EXTRANJERA 2007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e x inflación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COSTO FISCAL"/>
      <sheetName val="A COSTO FISCAL (2)"/>
      <sheetName val="COMPARATIVO"/>
      <sheetName val="A VALOR CABIN"/>
      <sheetName val="A VALOR BANCOMER"/>
      <sheetName val="Hoja2"/>
      <sheetName val="Hoja3"/>
      <sheetName val="A_COSTO_FISCAL"/>
      <sheetName val="A_COSTO_FISCAL_(2)"/>
      <sheetName val="A_VALOR_CABIN"/>
      <sheetName val="A_VALOR_BANCOMER"/>
      <sheetName val="A_COSTO_FISCAL1"/>
      <sheetName val="A_COSTO_FISCAL_(2)1"/>
      <sheetName val="A_VALOR_CABIN1"/>
      <sheetName val="A_VALOR_BANCOMER1"/>
      <sheetName val="A_COSTO_FISCAL2"/>
      <sheetName val="A_COSTO_FISCAL_(2)2"/>
      <sheetName val="A_VALOR_CABIN2"/>
      <sheetName val="A_VALOR_BANCOMER2"/>
      <sheetName val="A_COSTO_FISCAL3"/>
      <sheetName val="A_COSTO_FISCAL_(2)3"/>
      <sheetName val="A_VALOR_CABIN3"/>
      <sheetName val="A_VALOR_BANCOMER3"/>
      <sheetName val="A_COSTO_FISCAL4"/>
      <sheetName val="A_COSTO_FISCAL_(2)4"/>
      <sheetName val="A_VALOR_CABIN4"/>
      <sheetName val="A_VALOR_BANCOMER4"/>
      <sheetName val="A_COSTO_FISCAL5"/>
      <sheetName val="A_COSTO_FISCAL_(2)5"/>
      <sheetName val="A_VALOR_CABIN5"/>
      <sheetName val="A_VALOR_BANCOMER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RESUMEN"/>
      <sheetName val="AJUSTE 2007"/>
      <sheetName val="PRESTAMOS"/>
      <sheetName val="CTA 25-A"/>
      <sheetName val="CTAS"/>
      <sheetName val="ENAJENACION BONOS"/>
      <sheetName val="ENAJENACION 25-A"/>
      <sheetName val="SECURITIES 25-A"/>
      <sheetName val="DIVIDENDOS"/>
      <sheetName val="TC06"/>
      <sheetName val="TC05"/>
      <sheetName val="TC USD"/>
      <sheetName val="INPC"/>
    </sheetNames>
    <sheetDataSet>
      <sheetData sheetId="0" refreshError="1">
        <row r="11">
          <cell r="A11">
            <v>1</v>
          </cell>
          <cell r="B11">
            <v>10.875500000000001</v>
          </cell>
          <cell r="C11">
            <v>11.0548</v>
          </cell>
          <cell r="D11">
            <v>11.1493</v>
          </cell>
          <cell r="E11">
            <v>11.050700000000001</v>
          </cell>
          <cell r="F11">
            <v>10.9305</v>
          </cell>
          <cell r="G11">
            <v>10.818</v>
          </cell>
          <cell r="H11">
            <v>10.7926</v>
          </cell>
          <cell r="I11">
            <v>10.981199999999999</v>
          </cell>
          <cell r="J11">
            <v>11.0848</v>
          </cell>
          <cell r="K11">
            <v>10.920299999999999</v>
          </cell>
          <cell r="L11">
            <v>10.719799999999999</v>
          </cell>
          <cell r="M11">
            <v>10.941700000000001</v>
          </cell>
          <cell r="N11">
            <v>1</v>
          </cell>
        </row>
        <row r="12">
          <cell r="A12">
            <v>2</v>
          </cell>
          <cell r="B12">
            <v>10.875500000000001</v>
          </cell>
          <cell r="C12">
            <v>11.0382</v>
          </cell>
          <cell r="D12">
            <v>11.168200000000001</v>
          </cell>
          <cell r="E12">
            <v>11.050700000000001</v>
          </cell>
          <cell r="F12">
            <v>10.9305</v>
          </cell>
          <cell r="G12">
            <v>10.7445</v>
          </cell>
          <cell r="H12">
            <v>10.7926</v>
          </cell>
          <cell r="I12">
            <v>10.927300000000001</v>
          </cell>
          <cell r="J12">
            <v>11.0848</v>
          </cell>
          <cell r="K12">
            <v>10.9315</v>
          </cell>
          <cell r="L12">
            <v>10.702299999999999</v>
          </cell>
          <cell r="M12">
            <v>10.941700000000001</v>
          </cell>
          <cell r="N12">
            <v>2</v>
          </cell>
        </row>
        <row r="13">
          <cell r="A13">
            <v>3</v>
          </cell>
          <cell r="B13">
            <v>10.8116</v>
          </cell>
          <cell r="C13">
            <v>10.981999999999999</v>
          </cell>
          <cell r="D13">
            <v>11.191700000000001</v>
          </cell>
          <cell r="E13">
            <v>11.0322</v>
          </cell>
          <cell r="F13">
            <v>10.9278</v>
          </cell>
          <cell r="G13">
            <v>10.7445</v>
          </cell>
          <cell r="H13">
            <v>10.794600000000001</v>
          </cell>
          <cell r="I13">
            <v>10.9663</v>
          </cell>
          <cell r="J13">
            <v>11.0848</v>
          </cell>
          <cell r="K13">
            <v>10.9224</v>
          </cell>
          <cell r="L13">
            <v>10.702299999999999</v>
          </cell>
          <cell r="M13">
            <v>10.941700000000001</v>
          </cell>
          <cell r="N13">
            <v>3</v>
          </cell>
        </row>
        <row r="14">
          <cell r="A14">
            <v>4</v>
          </cell>
          <cell r="B14">
            <v>10.781499999999999</v>
          </cell>
          <cell r="C14">
            <v>10.981999999999999</v>
          </cell>
          <cell r="D14">
            <v>11.191700000000001</v>
          </cell>
          <cell r="E14">
            <v>11.0336</v>
          </cell>
          <cell r="F14">
            <v>10.9262</v>
          </cell>
          <cell r="G14">
            <v>10.7445</v>
          </cell>
          <cell r="H14">
            <v>10.7697</v>
          </cell>
          <cell r="I14">
            <v>10.940200000000001</v>
          </cell>
          <cell r="J14">
            <v>11.037800000000001</v>
          </cell>
          <cell r="K14">
            <v>10.920999999999999</v>
          </cell>
          <cell r="L14">
            <v>10.702299999999999</v>
          </cell>
          <cell r="M14">
            <v>10.896800000000001</v>
          </cell>
          <cell r="N14">
            <v>4</v>
          </cell>
        </row>
        <row r="15">
          <cell r="A15">
            <v>5</v>
          </cell>
          <cell r="B15">
            <v>10.770799999999999</v>
          </cell>
          <cell r="C15">
            <v>10.981999999999999</v>
          </cell>
          <cell r="D15">
            <v>11.191700000000001</v>
          </cell>
          <cell r="E15">
            <v>10.979699999999999</v>
          </cell>
          <cell r="F15">
            <v>10.901999999999999</v>
          </cell>
          <cell r="G15">
            <v>10.713100000000001</v>
          </cell>
          <cell r="H15">
            <v>10.7698</v>
          </cell>
          <cell r="I15">
            <v>10.940200000000001</v>
          </cell>
          <cell r="J15">
            <v>11.0169</v>
          </cell>
          <cell r="K15">
            <v>10.868499999999999</v>
          </cell>
          <cell r="L15">
            <v>10.702299999999999</v>
          </cell>
          <cell r="M15">
            <v>10.9124</v>
          </cell>
          <cell r="N15">
            <v>5</v>
          </cell>
        </row>
        <row r="16">
          <cell r="A16">
            <v>6</v>
          </cell>
          <cell r="B16">
            <v>10.865</v>
          </cell>
          <cell r="C16">
            <v>10.981999999999999</v>
          </cell>
          <cell r="D16">
            <v>11.181699999999999</v>
          </cell>
          <cell r="E16">
            <v>10.979699999999999</v>
          </cell>
          <cell r="F16">
            <v>10.901999999999999</v>
          </cell>
          <cell r="G16">
            <v>10.7441</v>
          </cell>
          <cell r="H16">
            <v>10.76</v>
          </cell>
          <cell r="I16">
            <v>10.940200000000001</v>
          </cell>
          <cell r="J16">
            <v>11.0265</v>
          </cell>
          <cell r="K16">
            <v>10.8963</v>
          </cell>
          <cell r="L16">
            <v>10.6639</v>
          </cell>
          <cell r="M16">
            <v>10.905900000000001</v>
          </cell>
          <cell r="N16">
            <v>6</v>
          </cell>
        </row>
        <row r="17">
          <cell r="A17">
            <v>7</v>
          </cell>
          <cell r="B17">
            <v>10.865</v>
          </cell>
          <cell r="C17">
            <v>10.992100000000001</v>
          </cell>
          <cell r="D17">
            <v>11.1762</v>
          </cell>
          <cell r="E17">
            <v>10.979699999999999</v>
          </cell>
          <cell r="F17">
            <v>10.901999999999999</v>
          </cell>
          <cell r="G17">
            <v>10.780900000000001</v>
          </cell>
          <cell r="H17">
            <v>10.7936</v>
          </cell>
          <cell r="I17">
            <v>10.967700000000001</v>
          </cell>
          <cell r="J17">
            <v>11.0848</v>
          </cell>
          <cell r="K17">
            <v>10.8963</v>
          </cell>
          <cell r="L17">
            <v>10.7308</v>
          </cell>
          <cell r="M17">
            <v>10.8592</v>
          </cell>
          <cell r="N17">
            <v>7</v>
          </cell>
        </row>
        <row r="18">
          <cell r="A18">
            <v>8</v>
          </cell>
          <cell r="B18">
            <v>10.865</v>
          </cell>
          <cell r="C18">
            <v>10.9192</v>
          </cell>
          <cell r="D18">
            <v>11.1473</v>
          </cell>
          <cell r="E18">
            <v>10.979699999999999</v>
          </cell>
          <cell r="F18">
            <v>10.885199999999999</v>
          </cell>
          <cell r="G18">
            <v>10.845000000000001</v>
          </cell>
          <cell r="H18">
            <v>10.7936</v>
          </cell>
          <cell r="I18">
            <v>10.9886</v>
          </cell>
          <cell r="J18">
            <v>11.065799999999999</v>
          </cell>
          <cell r="K18">
            <v>10.8963</v>
          </cell>
          <cell r="L18">
            <v>10.704599999999999</v>
          </cell>
          <cell r="M18">
            <v>10.8367</v>
          </cell>
          <cell r="N18">
            <v>8</v>
          </cell>
        </row>
        <row r="19">
          <cell r="A19">
            <v>9</v>
          </cell>
          <cell r="B19">
            <v>10.935499999999999</v>
          </cell>
          <cell r="C19">
            <v>10.936999999999999</v>
          </cell>
          <cell r="D19">
            <v>11.1555</v>
          </cell>
          <cell r="E19">
            <v>10.979699999999999</v>
          </cell>
          <cell r="F19">
            <v>10.8558</v>
          </cell>
          <cell r="G19">
            <v>10.904299999999999</v>
          </cell>
          <cell r="H19">
            <v>10.7936</v>
          </cell>
          <cell r="I19">
            <v>10.9613</v>
          </cell>
          <cell r="J19">
            <v>11.065799999999999</v>
          </cell>
          <cell r="K19">
            <v>10.855700000000001</v>
          </cell>
          <cell r="L19">
            <v>10.743499999999999</v>
          </cell>
          <cell r="M19">
            <v>10.8367</v>
          </cell>
          <cell r="N19">
            <v>9</v>
          </cell>
        </row>
        <row r="20">
          <cell r="A20">
            <v>10</v>
          </cell>
          <cell r="B20">
            <v>10.970499999999999</v>
          </cell>
          <cell r="C20">
            <v>10.968299999999999</v>
          </cell>
          <cell r="D20">
            <v>11.1426</v>
          </cell>
          <cell r="E20">
            <v>10.9976</v>
          </cell>
          <cell r="F20">
            <v>10.8513</v>
          </cell>
          <cell r="G20">
            <v>10.904299999999999</v>
          </cell>
          <cell r="H20">
            <v>10.7828</v>
          </cell>
          <cell r="I20">
            <v>10.9209</v>
          </cell>
          <cell r="J20">
            <v>11.065799999999999</v>
          </cell>
          <cell r="K20">
            <v>10.8589</v>
          </cell>
          <cell r="L20">
            <v>10.8108</v>
          </cell>
          <cell r="M20">
            <v>10.8367</v>
          </cell>
          <cell r="N20">
            <v>10</v>
          </cell>
        </row>
        <row r="21">
          <cell r="A21">
            <v>11</v>
          </cell>
          <cell r="B21">
            <v>11.0091</v>
          </cell>
          <cell r="C21">
            <v>10.968299999999999</v>
          </cell>
          <cell r="D21">
            <v>11.1426</v>
          </cell>
          <cell r="E21">
            <v>10.970499999999999</v>
          </cell>
          <cell r="F21">
            <v>10.8269</v>
          </cell>
          <cell r="G21">
            <v>10.904299999999999</v>
          </cell>
          <cell r="H21">
            <v>10.7531</v>
          </cell>
          <cell r="I21">
            <v>10.9832</v>
          </cell>
          <cell r="J21">
            <v>11.1227</v>
          </cell>
          <cell r="K21">
            <v>10.837899999999999</v>
          </cell>
          <cell r="L21">
            <v>10.8108</v>
          </cell>
          <cell r="M21">
            <v>10.812799999999999</v>
          </cell>
          <cell r="N21">
            <v>11</v>
          </cell>
        </row>
        <row r="22">
          <cell r="A22">
            <v>12</v>
          </cell>
          <cell r="B22">
            <v>11.033300000000001</v>
          </cell>
          <cell r="C22">
            <v>10.968299999999999</v>
          </cell>
          <cell r="D22">
            <v>11.1426</v>
          </cell>
          <cell r="E22">
            <v>11.012600000000001</v>
          </cell>
          <cell r="F22">
            <v>10.8178</v>
          </cell>
          <cell r="G22">
            <v>10.9702</v>
          </cell>
          <cell r="H22">
            <v>10.791700000000001</v>
          </cell>
          <cell r="I22">
            <v>10.9832</v>
          </cell>
          <cell r="J22">
            <v>11.140700000000001</v>
          </cell>
          <cell r="K22">
            <v>10.8383</v>
          </cell>
          <cell r="L22">
            <v>10.8108</v>
          </cell>
          <cell r="M22">
            <v>10.8185</v>
          </cell>
          <cell r="N22">
            <v>12</v>
          </cell>
        </row>
        <row r="23">
          <cell r="A23">
            <v>13</v>
          </cell>
          <cell r="B23">
            <v>10.965</v>
          </cell>
          <cell r="C23">
            <v>10.960100000000001</v>
          </cell>
          <cell r="D23">
            <v>11.1205</v>
          </cell>
          <cell r="E23">
            <v>10.984</v>
          </cell>
          <cell r="F23">
            <v>10.8178</v>
          </cell>
          <cell r="G23">
            <v>10.9307</v>
          </cell>
          <cell r="H23">
            <v>10.8248</v>
          </cell>
          <cell r="I23">
            <v>10.9832</v>
          </cell>
          <cell r="J23">
            <v>11.105700000000001</v>
          </cell>
          <cell r="K23">
            <v>10.8101</v>
          </cell>
          <cell r="L23">
            <v>10.880800000000001</v>
          </cell>
          <cell r="M23">
            <v>10.8185</v>
          </cell>
          <cell r="N23">
            <v>13</v>
          </cell>
        </row>
        <row r="24">
          <cell r="A24">
            <v>14</v>
          </cell>
          <cell r="B24">
            <v>10.965</v>
          </cell>
          <cell r="C24">
            <v>11.0227</v>
          </cell>
          <cell r="D24">
            <v>11.148300000000001</v>
          </cell>
          <cell r="E24">
            <v>11.013500000000001</v>
          </cell>
          <cell r="F24">
            <v>10.8178</v>
          </cell>
          <cell r="G24">
            <v>10.9331</v>
          </cell>
          <cell r="H24">
            <v>10.7799</v>
          </cell>
          <cell r="I24">
            <v>11.017300000000001</v>
          </cell>
          <cell r="J24">
            <v>11.071999999999999</v>
          </cell>
          <cell r="K24">
            <v>10.8101</v>
          </cell>
          <cell r="L24">
            <v>10.937799999999999</v>
          </cell>
          <cell r="M24">
            <v>10.8025</v>
          </cell>
          <cell r="N24">
            <v>14</v>
          </cell>
        </row>
        <row r="25">
          <cell r="A25">
            <v>15</v>
          </cell>
          <cell r="B25">
            <v>10.965</v>
          </cell>
          <cell r="C25">
            <v>10.9915</v>
          </cell>
          <cell r="D25">
            <v>11.172700000000001</v>
          </cell>
          <cell r="E25">
            <v>11.013500000000001</v>
          </cell>
          <cell r="F25">
            <v>10.8148</v>
          </cell>
          <cell r="G25">
            <v>10.953799999999999</v>
          </cell>
          <cell r="H25">
            <v>10.7799</v>
          </cell>
          <cell r="I25">
            <v>10.9915</v>
          </cell>
          <cell r="J25">
            <v>11.074299999999999</v>
          </cell>
          <cell r="K25">
            <v>10.8101</v>
          </cell>
          <cell r="L25">
            <v>10.8941</v>
          </cell>
          <cell r="M25">
            <v>10.8376</v>
          </cell>
          <cell r="N25">
            <v>15</v>
          </cell>
        </row>
        <row r="26">
          <cell r="A26">
            <v>16</v>
          </cell>
          <cell r="B26">
            <v>10.9765</v>
          </cell>
          <cell r="C26">
            <v>10.9152</v>
          </cell>
          <cell r="D26">
            <v>11.1867</v>
          </cell>
          <cell r="E26">
            <v>11.013500000000001</v>
          </cell>
          <cell r="F26">
            <v>10.7987</v>
          </cell>
          <cell r="G26">
            <v>10.901199999999999</v>
          </cell>
          <cell r="H26">
            <v>10.7799</v>
          </cell>
          <cell r="I26">
            <v>11.0549</v>
          </cell>
          <cell r="J26">
            <v>11.074299999999999</v>
          </cell>
          <cell r="K26">
            <v>10.825200000000001</v>
          </cell>
          <cell r="L26">
            <v>10.868499999999999</v>
          </cell>
          <cell r="M26">
            <v>10.8376</v>
          </cell>
          <cell r="N26">
            <v>16</v>
          </cell>
        </row>
        <row r="27">
          <cell r="A27">
            <v>17</v>
          </cell>
          <cell r="B27">
            <v>10.9419</v>
          </cell>
          <cell r="C27">
            <v>10.952199999999999</v>
          </cell>
          <cell r="D27">
            <v>11.1348</v>
          </cell>
          <cell r="E27">
            <v>10.9917</v>
          </cell>
          <cell r="F27">
            <v>10.8032</v>
          </cell>
          <cell r="G27">
            <v>10.901199999999999</v>
          </cell>
          <cell r="H27">
            <v>10.7608</v>
          </cell>
          <cell r="I27">
            <v>11.114800000000001</v>
          </cell>
          <cell r="J27">
            <v>11.074299999999999</v>
          </cell>
          <cell r="K27">
            <v>10.8133</v>
          </cell>
          <cell r="L27">
            <v>10.9145</v>
          </cell>
          <cell r="M27">
            <v>10.8376</v>
          </cell>
          <cell r="N27">
            <v>17</v>
          </cell>
        </row>
        <row r="28">
          <cell r="A28">
            <v>18</v>
          </cell>
          <cell r="B28">
            <v>10.986000000000001</v>
          </cell>
          <cell r="C28">
            <v>10.952199999999999</v>
          </cell>
          <cell r="D28">
            <v>11.1348</v>
          </cell>
          <cell r="E28">
            <v>10.9856</v>
          </cell>
          <cell r="F28">
            <v>10.7905</v>
          </cell>
          <cell r="G28">
            <v>10.901199999999999</v>
          </cell>
          <cell r="H28">
            <v>10.7653</v>
          </cell>
          <cell r="I28">
            <v>11.2676</v>
          </cell>
          <cell r="J28">
            <v>11.111000000000001</v>
          </cell>
          <cell r="K28">
            <v>10.841799999999999</v>
          </cell>
          <cell r="L28">
            <v>10.9145</v>
          </cell>
          <cell r="M28">
            <v>10.8249</v>
          </cell>
          <cell r="N28">
            <v>18</v>
          </cell>
        </row>
        <row r="29">
          <cell r="A29">
            <v>19</v>
          </cell>
          <cell r="B29">
            <v>10.923400000000001</v>
          </cell>
          <cell r="C29">
            <v>10.952199999999999</v>
          </cell>
          <cell r="D29">
            <v>11.1348</v>
          </cell>
          <cell r="E29">
            <v>10.991099999999999</v>
          </cell>
          <cell r="F29">
            <v>10.8033</v>
          </cell>
          <cell r="G29">
            <v>10.8148</v>
          </cell>
          <cell r="H29">
            <v>10.7628</v>
          </cell>
          <cell r="I29">
            <v>11.2676</v>
          </cell>
          <cell r="J29">
            <v>11.1471</v>
          </cell>
          <cell r="K29">
            <v>10.818099999999999</v>
          </cell>
          <cell r="L29">
            <v>10.9145</v>
          </cell>
          <cell r="M29">
            <v>10.846</v>
          </cell>
          <cell r="N29">
            <v>19</v>
          </cell>
        </row>
        <row r="30">
          <cell r="A30">
            <v>20</v>
          </cell>
          <cell r="B30">
            <v>10.9232</v>
          </cell>
          <cell r="C30">
            <v>10.995799999999999</v>
          </cell>
          <cell r="D30">
            <v>11.1348</v>
          </cell>
          <cell r="E30">
            <v>10.992000000000001</v>
          </cell>
          <cell r="F30">
            <v>10.8033</v>
          </cell>
          <cell r="G30">
            <v>10.776</v>
          </cell>
          <cell r="H30">
            <v>10.752000000000001</v>
          </cell>
          <cell r="I30">
            <v>11.2676</v>
          </cell>
          <cell r="J30">
            <v>11.0959</v>
          </cell>
          <cell r="K30">
            <v>10.8133</v>
          </cell>
          <cell r="L30">
            <v>10.9145</v>
          </cell>
          <cell r="M30">
            <v>10.8553</v>
          </cell>
          <cell r="N30">
            <v>20</v>
          </cell>
        </row>
        <row r="31">
          <cell r="A31">
            <v>21</v>
          </cell>
          <cell r="B31">
            <v>10.9232</v>
          </cell>
          <cell r="C31">
            <v>10.9778</v>
          </cell>
          <cell r="D31">
            <v>11.166399999999999</v>
          </cell>
          <cell r="E31">
            <v>11.004799999999999</v>
          </cell>
          <cell r="F31">
            <v>10.8033</v>
          </cell>
          <cell r="G31">
            <v>10.7494</v>
          </cell>
          <cell r="H31">
            <v>10.720700000000001</v>
          </cell>
          <cell r="I31">
            <v>11.1259</v>
          </cell>
          <cell r="J31">
            <v>10.9871</v>
          </cell>
          <cell r="K31">
            <v>10.8133</v>
          </cell>
          <cell r="L31">
            <v>10.9353</v>
          </cell>
          <cell r="M31">
            <v>10.841200000000001</v>
          </cell>
          <cell r="N31">
            <v>21</v>
          </cell>
        </row>
        <row r="32">
          <cell r="A32">
            <v>22</v>
          </cell>
          <cell r="B32">
            <v>10.9232</v>
          </cell>
          <cell r="C32">
            <v>10.9755</v>
          </cell>
          <cell r="D32">
            <v>11.112</v>
          </cell>
          <cell r="E32">
            <v>11.004799999999999</v>
          </cell>
          <cell r="F32">
            <v>10.8223</v>
          </cell>
          <cell r="G32">
            <v>10.7713</v>
          </cell>
          <cell r="H32">
            <v>10.720700000000001</v>
          </cell>
          <cell r="I32">
            <v>11.1053</v>
          </cell>
          <cell r="J32">
            <v>10.9687</v>
          </cell>
          <cell r="K32">
            <v>10.8133</v>
          </cell>
          <cell r="L32">
            <v>10.9687</v>
          </cell>
          <cell r="M32">
            <v>10.8363</v>
          </cell>
          <cell r="N32">
            <v>22</v>
          </cell>
        </row>
        <row r="33">
          <cell r="A33">
            <v>23</v>
          </cell>
          <cell r="B33">
            <v>10.882400000000001</v>
          </cell>
          <cell r="C33">
            <v>11.0023</v>
          </cell>
          <cell r="D33">
            <v>11.079599999999999</v>
          </cell>
          <cell r="E33">
            <v>11.004799999999999</v>
          </cell>
          <cell r="F33">
            <v>10.7963</v>
          </cell>
          <cell r="G33">
            <v>10.826599999999999</v>
          </cell>
          <cell r="H33">
            <v>10.720700000000001</v>
          </cell>
          <cell r="I33">
            <v>11.1213</v>
          </cell>
          <cell r="J33">
            <v>10.9687</v>
          </cell>
          <cell r="K33">
            <v>10.797599999999999</v>
          </cell>
          <cell r="L33">
            <v>11.0037</v>
          </cell>
          <cell r="M33">
            <v>10.8363</v>
          </cell>
          <cell r="N33">
            <v>23</v>
          </cell>
        </row>
        <row r="34">
          <cell r="A34">
            <v>24</v>
          </cell>
          <cell r="B34">
            <v>10.8918</v>
          </cell>
          <cell r="C34">
            <v>10.968299999999999</v>
          </cell>
          <cell r="D34">
            <v>11.022</v>
          </cell>
          <cell r="E34">
            <v>10.978999999999999</v>
          </cell>
          <cell r="F34">
            <v>10.7598</v>
          </cell>
          <cell r="G34">
            <v>10.826599999999999</v>
          </cell>
          <cell r="H34">
            <v>10.7843</v>
          </cell>
          <cell r="I34">
            <v>11.073600000000001</v>
          </cell>
          <cell r="J34">
            <v>10.9687</v>
          </cell>
          <cell r="K34">
            <v>10.840400000000001</v>
          </cell>
          <cell r="L34">
            <v>10.978999999999999</v>
          </cell>
          <cell r="M34">
            <v>10.8363</v>
          </cell>
          <cell r="N34">
            <v>24</v>
          </cell>
        </row>
        <row r="35">
          <cell r="A35">
            <v>25</v>
          </cell>
          <cell r="B35">
            <v>10.964499999999999</v>
          </cell>
          <cell r="C35">
            <v>10.968299999999999</v>
          </cell>
          <cell r="D35">
            <v>11.022</v>
          </cell>
          <cell r="E35">
            <v>10.963699999999999</v>
          </cell>
          <cell r="F35">
            <v>10.768800000000001</v>
          </cell>
          <cell r="G35">
            <v>10.826599999999999</v>
          </cell>
          <cell r="H35">
            <v>10.763999999999999</v>
          </cell>
          <cell r="I35">
            <v>11.0489</v>
          </cell>
          <cell r="J35">
            <v>10.951700000000001</v>
          </cell>
          <cell r="K35">
            <v>10.824</v>
          </cell>
          <cell r="L35">
            <v>10.978999999999999</v>
          </cell>
          <cell r="M35">
            <v>10.8203</v>
          </cell>
          <cell r="N35">
            <v>25</v>
          </cell>
        </row>
        <row r="36">
          <cell r="A36">
            <v>26</v>
          </cell>
          <cell r="B36">
            <v>10.948600000000001</v>
          </cell>
          <cell r="C36">
            <v>10.968299999999999</v>
          </cell>
          <cell r="D36">
            <v>11.022</v>
          </cell>
          <cell r="E36">
            <v>11.0053</v>
          </cell>
          <cell r="F36">
            <v>10.8354</v>
          </cell>
          <cell r="G36">
            <v>10.808</v>
          </cell>
          <cell r="H36">
            <v>10.784599999999999</v>
          </cell>
          <cell r="I36">
            <v>11.0489</v>
          </cell>
          <cell r="J36">
            <v>10.9391</v>
          </cell>
          <cell r="K36">
            <v>10.8348</v>
          </cell>
          <cell r="L36">
            <v>10.978999999999999</v>
          </cell>
          <cell r="M36">
            <v>10.8203</v>
          </cell>
          <cell r="N36">
            <v>26</v>
          </cell>
        </row>
        <row r="37">
          <cell r="A37">
            <v>27</v>
          </cell>
          <cell r="B37">
            <v>10.975300000000001</v>
          </cell>
          <cell r="C37">
            <v>11.0397</v>
          </cell>
          <cell r="D37">
            <v>11.0166</v>
          </cell>
          <cell r="E37">
            <v>10.9369</v>
          </cell>
          <cell r="F37">
            <v>10.8354</v>
          </cell>
          <cell r="G37">
            <v>10.818899999999999</v>
          </cell>
          <cell r="H37">
            <v>10.8712</v>
          </cell>
          <cell r="I37">
            <v>11.0489</v>
          </cell>
          <cell r="J37">
            <v>10.9438</v>
          </cell>
          <cell r="K37">
            <v>10.8291</v>
          </cell>
          <cell r="L37">
            <v>10.9733</v>
          </cell>
          <cell r="M37">
            <v>10.8132</v>
          </cell>
          <cell r="N37">
            <v>27</v>
          </cell>
        </row>
        <row r="38">
          <cell r="A38">
            <v>28</v>
          </cell>
          <cell r="B38">
            <v>10.975300000000001</v>
          </cell>
          <cell r="C38">
            <v>11.079000000000001</v>
          </cell>
          <cell r="D38">
            <v>11.0253</v>
          </cell>
          <cell r="E38">
            <v>10.9312</v>
          </cell>
          <cell r="F38">
            <v>10.8354</v>
          </cell>
          <cell r="G38">
            <v>10.8398</v>
          </cell>
          <cell r="H38">
            <v>10.9436</v>
          </cell>
          <cell r="I38">
            <v>11.0413</v>
          </cell>
          <cell r="J38">
            <v>10.924300000000001</v>
          </cell>
          <cell r="K38">
            <v>10.8291</v>
          </cell>
          <cell r="L38">
            <v>10.981</v>
          </cell>
          <cell r="M38">
            <v>10.810499999999999</v>
          </cell>
          <cell r="N38">
            <v>28</v>
          </cell>
        </row>
        <row r="39">
          <cell r="A39">
            <v>29</v>
          </cell>
          <cell r="B39">
            <v>10.975300000000001</v>
          </cell>
          <cell r="D39">
            <v>11.047000000000001</v>
          </cell>
          <cell r="E39">
            <v>10.9312</v>
          </cell>
          <cell r="F39">
            <v>10.7803</v>
          </cell>
          <cell r="G39">
            <v>10.866099999999999</v>
          </cell>
          <cell r="H39">
            <v>10.9436</v>
          </cell>
          <cell r="I39">
            <v>11.0382</v>
          </cell>
          <cell r="J39">
            <v>10.920299999999999</v>
          </cell>
          <cell r="K39">
            <v>10.8291</v>
          </cell>
          <cell r="L39">
            <v>10.9695</v>
          </cell>
          <cell r="M39">
            <v>10.866199999999999</v>
          </cell>
          <cell r="N39">
            <v>29</v>
          </cell>
        </row>
        <row r="40">
          <cell r="A40">
            <v>30</v>
          </cell>
          <cell r="B40">
            <v>11.0402</v>
          </cell>
          <cell r="D40">
            <v>11.081300000000001</v>
          </cell>
          <cell r="E40">
            <v>10.9312</v>
          </cell>
          <cell r="F40">
            <v>10.7788</v>
          </cell>
          <cell r="G40">
            <v>10.7926</v>
          </cell>
          <cell r="H40">
            <v>10.9436</v>
          </cell>
          <cell r="I40">
            <v>11.092000000000001</v>
          </cell>
          <cell r="J40">
            <v>10.920299999999999</v>
          </cell>
          <cell r="K40">
            <v>10.7523</v>
          </cell>
          <cell r="L40">
            <v>10.9345</v>
          </cell>
          <cell r="M40">
            <v>10.866199999999999</v>
          </cell>
          <cell r="N40">
            <v>30</v>
          </cell>
        </row>
        <row r="41">
          <cell r="A41">
            <v>31</v>
          </cell>
          <cell r="B41">
            <v>11.0855</v>
          </cell>
          <cell r="D41">
            <v>11.050700000000001</v>
          </cell>
          <cell r="F41">
            <v>10.7873</v>
          </cell>
          <cell r="H41">
            <v>10.997299999999999</v>
          </cell>
          <cell r="I41">
            <v>11.106199999999999</v>
          </cell>
          <cell r="K41">
            <v>10.7112</v>
          </cell>
          <cell r="M41">
            <v>10.866199999999999</v>
          </cell>
          <cell r="N41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06"/>
      <sheetName val="RESUMEN"/>
      <sheetName val="I. SALARIOS Y ASIMILADOS"/>
      <sheetName val="III. ARREND"/>
      <sheetName val="IV. ENAJ. BIENES"/>
      <sheetName val="VI. INTERESES"/>
      <sheetName val="VIII. DIVIDENDOS"/>
      <sheetName val="dividends2006"/>
      <sheetName val="IX. OING"/>
      <sheetName val="CTAS Y REND DLS (ART.168)"/>
      <sheetName val="FLUCTUACION CAMBIARIA"/>
      <sheetName val="TEREFIPRES"/>
      <sheetName val="PERJUBIFIS"/>
      <sheetName val="CTAINJUB"/>
      <sheetName val="CUCAJUB"/>
      <sheetName val="PERDIDAS"/>
      <sheetName val="INFORMATIVOS"/>
      <sheetName val="SUBSIDIO"/>
      <sheetName val="DECPER"/>
      <sheetName val="INPC "/>
      <sheetName val="2002"/>
      <sheetName val="2003"/>
      <sheetName val="2004"/>
      <sheetName val="2005"/>
      <sheetName val="2006"/>
      <sheetName val="#¡REF"/>
    </sheetNames>
    <sheetDataSet>
      <sheetData sheetId="0">
        <row r="1">
          <cell r="C1" t="str">
            <v xml:space="preserve"> </v>
          </cell>
        </row>
        <row r="15">
          <cell r="F15">
            <v>0.2742</v>
          </cell>
        </row>
        <row r="39">
          <cell r="C39">
            <v>965049.14477585698</v>
          </cell>
        </row>
        <row r="43">
          <cell r="F43">
            <v>103218.01</v>
          </cell>
          <cell r="H43">
            <v>0</v>
          </cell>
        </row>
        <row r="45">
          <cell r="F45">
            <v>0.28999999999999998</v>
          </cell>
        </row>
        <row r="47">
          <cell r="F47">
            <v>264678.78908499848</v>
          </cell>
        </row>
        <row r="49">
          <cell r="G49">
            <v>37396.32</v>
          </cell>
        </row>
      </sheetData>
      <sheetData sheetId="1">
        <row r="16">
          <cell r="C16">
            <v>858408.97733100527</v>
          </cell>
        </row>
      </sheetData>
      <sheetData sheetId="2">
        <row r="10">
          <cell r="B10">
            <v>0</v>
          </cell>
        </row>
        <row r="12">
          <cell r="C12">
            <v>237746</v>
          </cell>
          <cell r="D12">
            <v>68946</v>
          </cell>
          <cell r="E12">
            <v>0</v>
          </cell>
        </row>
        <row r="27">
          <cell r="C27">
            <v>237746</v>
          </cell>
        </row>
      </sheetData>
      <sheetData sheetId="3">
        <row r="33">
          <cell r="B33">
            <v>445931</v>
          </cell>
        </row>
        <row r="38">
          <cell r="B38">
            <v>211740.15000000002</v>
          </cell>
        </row>
        <row r="40">
          <cell r="B40">
            <v>44593</v>
          </cell>
        </row>
      </sheetData>
      <sheetData sheetId="4">
        <row r="10">
          <cell r="B10">
            <v>0</v>
          </cell>
        </row>
        <row r="44">
          <cell r="I44">
            <v>0</v>
          </cell>
        </row>
        <row r="51">
          <cell r="I51">
            <v>0</v>
          </cell>
        </row>
        <row r="55">
          <cell r="I55">
            <v>0</v>
          </cell>
        </row>
        <row r="65">
          <cell r="I65">
            <v>0</v>
          </cell>
        </row>
      </sheetData>
      <sheetData sheetId="5"/>
      <sheetData sheetId="6">
        <row r="33">
          <cell r="C33">
            <v>219003.59816200004</v>
          </cell>
        </row>
        <row r="34">
          <cell r="C34">
            <v>308466.56801117706</v>
          </cell>
        </row>
        <row r="35">
          <cell r="C35">
            <v>89455.304723241337</v>
          </cell>
        </row>
      </sheetData>
      <sheetData sheetId="7"/>
      <sheetData sheetId="8">
        <row r="16">
          <cell r="C16">
            <v>858408.97733100527</v>
          </cell>
          <cell r="E16">
            <v>13416.42676467984</v>
          </cell>
          <cell r="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6">
          <cell r="D16">
            <v>1</v>
          </cell>
        </row>
      </sheetData>
      <sheetData sheetId="16">
        <row r="23">
          <cell r="D23">
            <v>5500</v>
          </cell>
        </row>
      </sheetData>
      <sheetData sheetId="17">
        <row r="12">
          <cell r="C12">
            <v>237746</v>
          </cell>
        </row>
        <row r="16">
          <cell r="D16">
            <v>1</v>
          </cell>
        </row>
      </sheetData>
      <sheetData sheetId="18">
        <row r="23">
          <cell r="D23">
            <v>5500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P. IS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2009.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EDORES"/>
      <sheetName val="ING ACUM DED AUTO"/>
      <sheetName val="PROYECTOS DEF"/>
      <sheetName val="PROYECTOS"/>
      <sheetName val="AJTE ANUAL"/>
      <sheetName val="DEPN'GTOS"/>
      <sheetName val="CUCA"/>
      <sheetName val="PERDIDAS 03"/>
      <sheetName val="CUFIN"/>
      <sheetName val="CU"/>
      <sheetName val="IMPAC P.P. (NO)"/>
      <sheetName val="DEPN (2)"/>
      <sheetName val="DEPN"/>
      <sheetName val="ING_ACUM_DED_AUTO"/>
      <sheetName val="PROYECTOS_DEF"/>
      <sheetName val="AJTE_ANUAL"/>
      <sheetName val="PERDIDAS_03"/>
      <sheetName val="IMPAC_P_P__(NO)"/>
      <sheetName val="DEPN_(2)"/>
      <sheetName val="ING_ACUM_DED_AUTO1"/>
      <sheetName val="PROYECTOS_DEF1"/>
      <sheetName val="AJTE_ANUAL1"/>
      <sheetName val="PERDIDAS_031"/>
      <sheetName val="IMPAC_P_P__(NO)1"/>
      <sheetName val="DEPN_(2)1"/>
      <sheetName val="ING_ACUM_DED_AUTO2"/>
      <sheetName val="PROYECTOS_DEF2"/>
      <sheetName val="AJTE_ANUAL2"/>
      <sheetName val="PERDIDAS_032"/>
      <sheetName val="IMPAC_P_P__(NO)2"/>
      <sheetName val="DEPN_(2)2"/>
      <sheetName val="ING_ACUM_DED_AUTO3"/>
      <sheetName val="PROYECTOS_DEF3"/>
      <sheetName val="AJTE_ANUAL3"/>
      <sheetName val="PERDIDAS_033"/>
      <sheetName val="IMPAC_P_P__(NO)3"/>
      <sheetName val="DEPN_(2)3"/>
      <sheetName val="ING_ACUM_DED_AUTO4"/>
      <sheetName val="PROYECTOS_DEF4"/>
      <sheetName val="AJTE_ANUAL4"/>
      <sheetName val="PERDIDAS_034"/>
      <sheetName val="IMPAC_P_P__(NO)4"/>
      <sheetName val="DEPN_(2)4"/>
      <sheetName val="ING_ACUM_DED_AUTO5"/>
      <sheetName val="PROYECTOS_DEF5"/>
      <sheetName val="AJTE_ANUAL5"/>
      <sheetName val="PERDIDAS_035"/>
      <sheetName val="IMPAC_P_P__(NO)5"/>
      <sheetName val="DEPN_(2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cedula movimientos proyectado"/>
      <sheetName val="B-10 ACTIVO FIJO proyectado"/>
    </sheetNames>
    <sheetDataSet>
      <sheetData sheetId="0">
        <row r="20">
          <cell r="G20">
            <v>106800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QN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FO96"/>
      <sheetName val="FLUBAC96"/>
    </sheetNames>
    <sheetDataSet>
      <sheetData sheetId="0" refreshError="1">
        <row r="1">
          <cell r="A1" t="str">
            <v>MINAS DE BACIS, S.A. DE C.V.</v>
          </cell>
        </row>
        <row r="2">
          <cell r="A2" t="str">
            <v>CEDULA PARA EL AMARRE DE PRODUCTOS FINANCIEROS</v>
          </cell>
          <cell r="G2" t="str">
            <v/>
          </cell>
          <cell r="H2" t="str">
            <v/>
          </cell>
        </row>
        <row r="3">
          <cell r="A3" t="str">
            <v>Y FLUCTUACION CAMBIARIA EN INVERSIONES EN DOLARES</v>
          </cell>
        </row>
        <row r="4">
          <cell r="A4" t="str">
            <v>DURANTE EL EJERCICIO 1996.-</v>
          </cell>
        </row>
        <row r="7">
          <cell r="C7" t="str">
            <v>INTERESES</v>
          </cell>
          <cell r="D7" t="str">
            <v>T.C.</v>
          </cell>
          <cell r="E7" t="str">
            <v>INTERESES</v>
          </cell>
          <cell r="F7" t="str">
            <v>INTERESES</v>
          </cell>
          <cell r="G7" t="str">
            <v>CAPITAL</v>
          </cell>
          <cell r="H7" t="str">
            <v>T.C.</v>
          </cell>
          <cell r="I7" t="str">
            <v>INTERESES</v>
          </cell>
          <cell r="J7" t="str">
            <v>T.C.</v>
          </cell>
          <cell r="K7" t="str">
            <v>FLUCTUACION</v>
          </cell>
          <cell r="L7" t="str">
            <v>FLUCTUACION</v>
          </cell>
        </row>
        <row r="8">
          <cell r="A8" t="str">
            <v>PERIODO</v>
          </cell>
          <cell r="C8" t="str">
            <v>DOLARES</v>
          </cell>
          <cell r="D8" t="str">
            <v>REGISTRO</v>
          </cell>
          <cell r="E8" t="str">
            <v>PESOS</v>
          </cell>
          <cell r="F8" t="str">
            <v>LIBROS</v>
          </cell>
          <cell r="G8" t="str">
            <v>FLUCTUADO</v>
          </cell>
          <cell r="H8" t="str">
            <v>FIN MES</v>
          </cell>
          <cell r="I8" t="str">
            <v>FLUCTUADOS</v>
          </cell>
          <cell r="J8" t="str">
            <v>PAGO</v>
          </cell>
          <cell r="K8" t="str">
            <v>CAPITAL</v>
          </cell>
          <cell r="L8" t="str">
            <v>INTERESES</v>
          </cell>
        </row>
        <row r="11">
          <cell r="A11" t="str">
            <v>ENERO</v>
          </cell>
          <cell r="C11">
            <v>6587.5</v>
          </cell>
          <cell r="D11">
            <v>7.3907999999999996</v>
          </cell>
          <cell r="E11">
            <v>48686.894999999997</v>
          </cell>
          <cell r="F11">
            <v>48686.894999999997</v>
          </cell>
          <cell r="K11">
            <v>-293400.00000000012</v>
          </cell>
          <cell r="L11">
            <v>-3957.2325000000014</v>
          </cell>
        </row>
        <row r="12">
          <cell r="A12" t="str">
            <v>FEBRERO</v>
          </cell>
          <cell r="C12">
            <v>4633.3691780821919</v>
          </cell>
          <cell r="D12">
            <v>7.5389999999999997</v>
          </cell>
          <cell r="E12">
            <v>34930.970233561646</v>
          </cell>
          <cell r="F12">
            <v>83617.865233561635</v>
          </cell>
          <cell r="K12">
            <v>148200.00000000012</v>
          </cell>
          <cell r="L12">
            <v>3143.2791500000044</v>
          </cell>
        </row>
        <row r="13">
          <cell r="A13" t="str">
            <v>MARZO</v>
          </cell>
          <cell r="C13">
            <v>5123.4589041095896</v>
          </cell>
          <cell r="D13">
            <v>7.5526</v>
          </cell>
          <cell r="E13">
            <v>38695.435719178087</v>
          </cell>
          <cell r="F13">
            <v>122313.30095273972</v>
          </cell>
          <cell r="K13">
            <v>13600.000000000278</v>
          </cell>
          <cell r="L13">
            <v>128.12178082192042</v>
          </cell>
        </row>
        <row r="14">
          <cell r="A14" t="str">
            <v>ABRIL</v>
          </cell>
          <cell r="C14">
            <v>4885.2739726027394</v>
          </cell>
          <cell r="D14">
            <v>7.4042000000000003</v>
          </cell>
          <cell r="E14">
            <v>36171.545547945207</v>
          </cell>
          <cell r="F14">
            <v>158484.84650068491</v>
          </cell>
          <cell r="K14">
            <v>-148399.99999999965</v>
          </cell>
          <cell r="L14">
            <v>-2158.3560273972553</v>
          </cell>
        </row>
        <row r="15">
          <cell r="A15" t="str">
            <v>MAYO</v>
          </cell>
          <cell r="C15">
            <v>5048.1164383561645</v>
          </cell>
          <cell r="D15">
            <v>7.4095000000000004</v>
          </cell>
          <cell r="E15">
            <v>37404.018750000003</v>
          </cell>
          <cell r="F15">
            <v>195888.8652506849</v>
          </cell>
          <cell r="K15">
            <v>5300.0000000000828</v>
          </cell>
          <cell r="L15">
            <v>102.97609589041257</v>
          </cell>
        </row>
        <row r="16">
          <cell r="A16" t="str">
            <v>JUNIO</v>
          </cell>
          <cell r="C16">
            <v>4511.6682191780819</v>
          </cell>
          <cell r="D16">
            <v>7.6322999999999999</v>
          </cell>
          <cell r="E16">
            <v>34434.405349232875</v>
          </cell>
          <cell r="F16">
            <v>230323.27059991777</v>
          </cell>
          <cell r="K16">
            <v>222799.99999999948</v>
          </cell>
          <cell r="L16">
            <v>5732.4928122739666</v>
          </cell>
        </row>
        <row r="17">
          <cell r="A17" t="str">
            <v>JULIO</v>
          </cell>
          <cell r="C17">
            <v>5010.9589041095896</v>
          </cell>
          <cell r="D17">
            <v>7.6135000000000002</v>
          </cell>
          <cell r="E17">
            <v>38150.935616438364</v>
          </cell>
          <cell r="F17">
            <v>268474.20621635613</v>
          </cell>
          <cell r="K17">
            <v>-18799.999999999705</v>
          </cell>
          <cell r="L17">
            <v>-248.77808219177692</v>
          </cell>
        </row>
        <row r="18">
          <cell r="A18" t="str">
            <v>AGOSTO</v>
          </cell>
          <cell r="C18">
            <v>4898.1265753424659</v>
          </cell>
          <cell r="D18">
            <v>7.5205000000000002</v>
          </cell>
          <cell r="E18">
            <v>36836.360909863019</v>
          </cell>
          <cell r="F18">
            <v>305310.56712621916</v>
          </cell>
          <cell r="K18">
            <v>-92999.999999999971</v>
          </cell>
          <cell r="L18">
            <v>-2176.6635578630121</v>
          </cell>
        </row>
        <row r="19">
          <cell r="A19" t="str">
            <v>SEPTIEMBRE</v>
          </cell>
          <cell r="C19">
            <v>4849.3150684931516</v>
          </cell>
          <cell r="D19">
            <v>7.5373999999999999</v>
          </cell>
          <cell r="E19">
            <v>36551.227397260278</v>
          </cell>
          <cell r="F19">
            <v>341861.79452347942</v>
          </cell>
          <cell r="K19">
            <v>16899.999999999694</v>
          </cell>
          <cell r="L19">
            <v>159.99438356164094</v>
          </cell>
        </row>
        <row r="20">
          <cell r="A20" t="str">
            <v>OCTUBRE</v>
          </cell>
          <cell r="C20">
            <v>5010.9589041095896</v>
          </cell>
          <cell r="D20">
            <v>7.9172000000000002</v>
          </cell>
          <cell r="E20">
            <v>39672.763835616446</v>
          </cell>
          <cell r="F20">
            <v>381534.55835909588</v>
          </cell>
          <cell r="K20">
            <v>379800.00000000035</v>
          </cell>
          <cell r="L20">
            <v>5437.3832876712377</v>
          </cell>
        </row>
        <row r="21">
          <cell r="A21" t="str">
            <v>NOVIEMBRE</v>
          </cell>
          <cell r="C21">
            <v>4849.3150684931516</v>
          </cell>
          <cell r="D21">
            <v>7.8857999999999997</v>
          </cell>
          <cell r="E21">
            <v>38240.728767123292</v>
          </cell>
          <cell r="F21">
            <v>419775.28712621919</v>
          </cell>
          <cell r="K21">
            <v>-31400.000000000538</v>
          </cell>
          <cell r="L21">
            <v>-606.88027397261317</v>
          </cell>
        </row>
        <row r="22">
          <cell r="A22" t="str">
            <v>DICIEMBRE</v>
          </cell>
          <cell r="C22">
            <v>5010.9775342465755</v>
          </cell>
          <cell r="D22">
            <v>7.8509000000000002</v>
          </cell>
          <cell r="E22">
            <v>39340.683523616441</v>
          </cell>
          <cell r="F22">
            <v>459115.97064983565</v>
          </cell>
          <cell r="K22">
            <v>-34899.999999999483</v>
          </cell>
          <cell r="L22">
            <v>-843.76726027396023</v>
          </cell>
        </row>
        <row r="23">
          <cell r="A23" t="str">
            <v>ENERO</v>
          </cell>
          <cell r="C23">
            <v>2335.6164383561645</v>
          </cell>
        </row>
        <row r="24">
          <cell r="A24" t="str">
            <v>FEBRERO</v>
          </cell>
          <cell r="C24">
            <v>75.342465753424662</v>
          </cell>
        </row>
        <row r="27">
          <cell r="C27">
            <v>62829.997671232879</v>
          </cell>
          <cell r="E27">
            <v>459115.97064983565</v>
          </cell>
          <cell r="K27">
            <v>166700.00000000052</v>
          </cell>
          <cell r="L27">
            <v>4712.5698085205631</v>
          </cell>
        </row>
        <row r="28">
          <cell r="A28" t="str">
            <v>MINAS DE BACIS, S.A. DE C.V.</v>
          </cell>
        </row>
        <row r="29">
          <cell r="A29" t="str">
            <v>INVERSIONES EN MONEDA EXTRANJERA</v>
          </cell>
          <cell r="G29" t="str">
            <v/>
          </cell>
          <cell r="H29" t="str">
            <v/>
          </cell>
        </row>
        <row r="30">
          <cell r="A30" t="str">
            <v>CON  : CALIFORNIA COMERCE BANK</v>
          </cell>
        </row>
        <row r="31">
          <cell r="A31" t="str">
            <v>CAPITAL      :</v>
          </cell>
          <cell r="C31">
            <v>500000</v>
          </cell>
        </row>
        <row r="32">
          <cell r="A32" t="str">
            <v>T.C. INICIO  :</v>
          </cell>
          <cell r="C32">
            <v>6.3819999999999997</v>
          </cell>
        </row>
        <row r="33">
          <cell r="A33" t="str">
            <v>TASA NORMAL  :</v>
          </cell>
          <cell r="C33">
            <v>9</v>
          </cell>
        </row>
        <row r="34">
          <cell r="A34" t="str">
            <v>TASA MORAT.  :</v>
          </cell>
          <cell r="C34">
            <v>0</v>
          </cell>
        </row>
        <row r="35">
          <cell r="A35" t="str">
            <v>PLAZO DIAS   :</v>
          </cell>
          <cell r="C35">
            <v>124</v>
          </cell>
        </row>
        <row r="36">
          <cell r="A36" t="str">
            <v>FECHA INICIO :</v>
          </cell>
          <cell r="C36" t="str">
            <v>OCT-04-95</v>
          </cell>
        </row>
        <row r="37">
          <cell r="A37" t="str">
            <v>FECHA VENC.  :</v>
          </cell>
          <cell r="C37" t="str">
            <v>FEB-05-96</v>
          </cell>
        </row>
        <row r="40">
          <cell r="C40" t="str">
            <v>INTERESES</v>
          </cell>
          <cell r="D40" t="str">
            <v>T.C.</v>
          </cell>
          <cell r="E40" t="str">
            <v>INTERESES</v>
          </cell>
          <cell r="F40" t="str">
            <v>INTERESES</v>
          </cell>
          <cell r="G40" t="str">
            <v>CAPITAL</v>
          </cell>
          <cell r="H40" t="str">
            <v>T.C.</v>
          </cell>
          <cell r="I40" t="str">
            <v>INTERESES</v>
          </cell>
          <cell r="J40" t="str">
            <v>T.C.</v>
          </cell>
          <cell r="K40" t="str">
            <v>FLUCTUACION</v>
          </cell>
          <cell r="L40" t="str">
            <v>FLUCTUACION</v>
          </cell>
        </row>
        <row r="41">
          <cell r="A41" t="str">
            <v>PERIODO</v>
          </cell>
          <cell r="C41" t="str">
            <v>DOLARES</v>
          </cell>
          <cell r="D41" t="str">
            <v>REGISTRO</v>
          </cell>
          <cell r="E41" t="str">
            <v>PESOS</v>
          </cell>
          <cell r="F41" t="str">
            <v>LIBROS</v>
          </cell>
          <cell r="G41" t="str">
            <v>FLUCTUADO</v>
          </cell>
          <cell r="H41" t="str">
            <v>FIN MES</v>
          </cell>
          <cell r="I41" t="str">
            <v>FLUCTUADOS</v>
          </cell>
          <cell r="J41" t="str">
            <v>PAGO</v>
          </cell>
          <cell r="K41" t="str">
            <v>CAPITAL</v>
          </cell>
          <cell r="L41" t="str">
            <v>INTERESES</v>
          </cell>
        </row>
        <row r="44">
          <cell r="A44" t="str">
            <v>OCTUBRE</v>
          </cell>
          <cell r="B44">
            <v>28</v>
          </cell>
          <cell r="C44">
            <v>3500</v>
          </cell>
          <cell r="D44">
            <v>7.1717000000000004</v>
          </cell>
          <cell r="E44">
            <v>25100.95</v>
          </cell>
          <cell r="F44">
            <v>25100.95</v>
          </cell>
          <cell r="G44">
            <v>500000</v>
          </cell>
          <cell r="H44">
            <v>7.1717000000000004</v>
          </cell>
          <cell r="K44">
            <v>394850.00000000035</v>
          </cell>
        </row>
        <row r="45">
          <cell r="A45" t="str">
            <v>NOVIEMBRE</v>
          </cell>
          <cell r="B45">
            <v>30</v>
          </cell>
          <cell r="C45">
            <v>3750</v>
          </cell>
          <cell r="D45">
            <v>7.6516999999999999</v>
          </cell>
          <cell r="E45">
            <v>28693.875</v>
          </cell>
          <cell r="F45">
            <v>53794.824999999997</v>
          </cell>
          <cell r="G45">
            <v>500000</v>
          </cell>
          <cell r="H45">
            <v>7.6516999999999999</v>
          </cell>
          <cell r="I45">
            <v>3500</v>
          </cell>
          <cell r="K45">
            <v>239999.99999999977</v>
          </cell>
          <cell r="L45">
            <v>1679.9999999999984</v>
          </cell>
        </row>
        <row r="46">
          <cell r="A46" t="str">
            <v>DICIEMBRE</v>
          </cell>
          <cell r="B46">
            <v>31</v>
          </cell>
          <cell r="C46">
            <v>3875</v>
          </cell>
          <cell r="D46">
            <v>7.6841999999999997</v>
          </cell>
          <cell r="E46">
            <v>29776.274999999998</v>
          </cell>
          <cell r="F46">
            <v>83571.099999999991</v>
          </cell>
          <cell r="G46">
            <v>500000</v>
          </cell>
          <cell r="H46">
            <v>7.6841999999999997</v>
          </cell>
          <cell r="I46">
            <v>7250</v>
          </cell>
          <cell r="K46">
            <v>16249.999999999876</v>
          </cell>
          <cell r="L46">
            <v>235.62499999999821</v>
          </cell>
        </row>
        <row r="47">
          <cell r="A47" t="str">
            <v>ENERO</v>
          </cell>
          <cell r="B47">
            <v>31</v>
          </cell>
          <cell r="C47">
            <v>3875</v>
          </cell>
          <cell r="D47">
            <v>7.3907999999999996</v>
          </cell>
          <cell r="E47">
            <v>28639.35</v>
          </cell>
          <cell r="F47">
            <v>112210.44999999998</v>
          </cell>
          <cell r="G47">
            <v>500000</v>
          </cell>
          <cell r="H47">
            <v>7.3907999999999996</v>
          </cell>
          <cell r="I47">
            <v>11125</v>
          </cell>
          <cell r="K47">
            <v>-146700.00000000006</v>
          </cell>
          <cell r="L47">
            <v>-3264.0750000000012</v>
          </cell>
        </row>
        <row r="48">
          <cell r="A48" t="str">
            <v>FEBRERO</v>
          </cell>
          <cell r="B48">
            <v>4</v>
          </cell>
          <cell r="C48">
            <v>287.64999999999998</v>
          </cell>
          <cell r="D48">
            <v>7.5389999999999997</v>
          </cell>
          <cell r="E48">
            <v>2168.5933499999996</v>
          </cell>
          <cell r="F48">
            <v>114379.04334999998</v>
          </cell>
          <cell r="G48">
            <v>500000</v>
          </cell>
          <cell r="I48">
            <v>15000</v>
          </cell>
          <cell r="J48">
            <v>7.55</v>
          </cell>
          <cell r="K48">
            <v>79600.000000000116</v>
          </cell>
          <cell r="L48">
            <v>2388.0000000000036</v>
          </cell>
        </row>
        <row r="49">
          <cell r="I49">
            <v>287.64999999999998</v>
          </cell>
          <cell r="J49">
            <v>7.55</v>
          </cell>
          <cell r="L49">
            <v>3.1641500000000344</v>
          </cell>
        </row>
        <row r="51">
          <cell r="C51" t="str">
            <v>=</v>
          </cell>
          <cell r="E51" t="str">
            <v>=</v>
          </cell>
          <cell r="K51" t="str">
            <v>=</v>
          </cell>
          <cell r="L51" t="str">
            <v>=</v>
          </cell>
        </row>
        <row r="52">
          <cell r="C52">
            <v>15287.65</v>
          </cell>
          <cell r="E52">
            <v>114379.04334999998</v>
          </cell>
          <cell r="K52">
            <v>584000</v>
          </cell>
          <cell r="L52">
            <v>1042.7141499999991</v>
          </cell>
        </row>
        <row r="53">
          <cell r="A53" t="str">
            <v>MINAS DE BACIS, S.A. DE C.V.</v>
          </cell>
        </row>
        <row r="54">
          <cell r="A54" t="str">
            <v>INVERSIONES EN MONEDA EXTRANJERA</v>
          </cell>
          <cell r="G54" t="str">
            <v/>
          </cell>
          <cell r="H54" t="str">
            <v/>
          </cell>
        </row>
        <row r="55">
          <cell r="A55" t="str">
            <v>CON  : CALIFORNIA COMERCE BANK</v>
          </cell>
        </row>
        <row r="56">
          <cell r="A56" t="str">
            <v>CAPITAL      :</v>
          </cell>
          <cell r="C56">
            <v>500000</v>
          </cell>
        </row>
        <row r="57">
          <cell r="A57" t="str">
            <v>T.C. INICIO  :</v>
          </cell>
          <cell r="C57">
            <v>7.8192000000000004</v>
          </cell>
        </row>
        <row r="58">
          <cell r="A58" t="str">
            <v>TASA NORMAL  :</v>
          </cell>
          <cell r="C58">
            <v>6.3</v>
          </cell>
        </row>
        <row r="59">
          <cell r="A59" t="str">
            <v>TASA MORAT.  :</v>
          </cell>
          <cell r="C59">
            <v>0</v>
          </cell>
        </row>
        <row r="60">
          <cell r="A60" t="str">
            <v>PLAZO DIAS   :</v>
          </cell>
          <cell r="C60">
            <v>183</v>
          </cell>
        </row>
        <row r="61">
          <cell r="A61" t="str">
            <v>FECHA INICIO :</v>
          </cell>
          <cell r="C61" t="str">
            <v>DIC-05-95</v>
          </cell>
        </row>
        <row r="62">
          <cell r="A62" t="str">
            <v>FECHA VENC.  :</v>
          </cell>
          <cell r="C62" t="str">
            <v>JUN-05-96</v>
          </cell>
        </row>
        <row r="65">
          <cell r="C65" t="str">
            <v>INTERESES</v>
          </cell>
          <cell r="D65" t="str">
            <v>T.C.</v>
          </cell>
          <cell r="E65" t="str">
            <v>INTERESES</v>
          </cell>
          <cell r="F65" t="str">
            <v>INTERESES</v>
          </cell>
          <cell r="G65" t="str">
            <v>CAPITAL</v>
          </cell>
          <cell r="H65" t="str">
            <v>T.C.</v>
          </cell>
          <cell r="I65" t="str">
            <v>INTERESES</v>
          </cell>
          <cell r="J65" t="str">
            <v>T.C.</v>
          </cell>
          <cell r="K65" t="str">
            <v>FLUCTUACION</v>
          </cell>
          <cell r="L65" t="str">
            <v>FLUCTUACION</v>
          </cell>
        </row>
        <row r="66">
          <cell r="A66" t="str">
            <v>PERIODO</v>
          </cell>
          <cell r="C66" t="str">
            <v>DOLARES</v>
          </cell>
          <cell r="D66" t="str">
            <v>REGISTRO</v>
          </cell>
          <cell r="E66" t="str">
            <v>PESOS</v>
          </cell>
          <cell r="F66" t="str">
            <v>LIBROS</v>
          </cell>
          <cell r="G66" t="str">
            <v>FLUCTUADO</v>
          </cell>
          <cell r="H66" t="str">
            <v>FIN MES</v>
          </cell>
          <cell r="I66" t="str">
            <v>FLUCTUADOS</v>
          </cell>
          <cell r="J66" t="str">
            <v>PAGO</v>
          </cell>
          <cell r="K66" t="str">
            <v>CAPITAL</v>
          </cell>
          <cell r="L66" t="str">
            <v>INTERESES</v>
          </cell>
        </row>
        <row r="69">
          <cell r="A69" t="str">
            <v>DICIEMBRE</v>
          </cell>
          <cell r="B69">
            <v>27</v>
          </cell>
          <cell r="C69">
            <v>2362.5</v>
          </cell>
          <cell r="D69">
            <v>7.6841999999999997</v>
          </cell>
          <cell r="E69">
            <v>18153.922500000001</v>
          </cell>
          <cell r="F69">
            <v>18153.922500000001</v>
          </cell>
          <cell r="G69">
            <v>500000</v>
          </cell>
          <cell r="H69">
            <v>7.6841999999999997</v>
          </cell>
          <cell r="K69">
            <v>-67500.000000000335</v>
          </cell>
          <cell r="L69">
            <v>0</v>
          </cell>
        </row>
        <row r="70">
          <cell r="A70" t="str">
            <v>ENERO</v>
          </cell>
          <cell r="B70">
            <v>31</v>
          </cell>
          <cell r="C70">
            <v>2712.5</v>
          </cell>
          <cell r="D70">
            <v>7.3907999999999996</v>
          </cell>
          <cell r="E70">
            <v>20047.544999999998</v>
          </cell>
          <cell r="F70">
            <v>38201.467499999999</v>
          </cell>
          <cell r="G70">
            <v>500000</v>
          </cell>
          <cell r="H70">
            <v>7.3907999999999996</v>
          </cell>
          <cell r="I70">
            <v>2362.5</v>
          </cell>
          <cell r="K70">
            <v>-146700.00000000006</v>
          </cell>
          <cell r="L70">
            <v>-693.15750000000025</v>
          </cell>
        </row>
        <row r="71">
          <cell r="A71" t="str">
            <v>FEBRERO</v>
          </cell>
          <cell r="B71">
            <v>29</v>
          </cell>
          <cell r="C71">
            <v>2537.5</v>
          </cell>
          <cell r="D71">
            <v>7.5389999999999997</v>
          </cell>
          <cell r="E71">
            <v>19130.212499999998</v>
          </cell>
          <cell r="F71">
            <v>57331.679999999993</v>
          </cell>
          <cell r="G71">
            <v>500000</v>
          </cell>
          <cell r="H71">
            <v>7.5389999999999997</v>
          </cell>
          <cell r="I71">
            <v>5075</v>
          </cell>
          <cell r="K71">
            <v>74100.000000000058</v>
          </cell>
          <cell r="L71">
            <v>752.11500000000058</v>
          </cell>
        </row>
        <row r="72">
          <cell r="A72" t="str">
            <v>MARZO</v>
          </cell>
          <cell r="B72">
            <v>31</v>
          </cell>
          <cell r="C72">
            <v>2712.5</v>
          </cell>
          <cell r="D72">
            <v>7.5526</v>
          </cell>
          <cell r="E72">
            <v>20486.427500000002</v>
          </cell>
          <cell r="F72">
            <v>77818.107499999998</v>
          </cell>
          <cell r="G72">
            <v>500000</v>
          </cell>
          <cell r="H72">
            <v>7.5526</v>
          </cell>
          <cell r="I72">
            <v>7612.5</v>
          </cell>
          <cell r="K72">
            <v>6800.0000000001392</v>
          </cell>
          <cell r="L72">
            <v>103.53000000000212</v>
          </cell>
        </row>
        <row r="73">
          <cell r="A73" t="str">
            <v>ABRIL</v>
          </cell>
          <cell r="B73">
            <v>30</v>
          </cell>
          <cell r="C73">
            <v>2625</v>
          </cell>
          <cell r="D73">
            <v>7.4042000000000003</v>
          </cell>
          <cell r="E73">
            <v>19436.025000000001</v>
          </cell>
          <cell r="F73">
            <v>97254.132500000007</v>
          </cell>
          <cell r="G73">
            <v>500000</v>
          </cell>
          <cell r="H73">
            <v>7.4042000000000003</v>
          </cell>
          <cell r="I73">
            <v>10325</v>
          </cell>
          <cell r="K73">
            <v>-74199.999999999825</v>
          </cell>
          <cell r="L73">
            <v>-1532.2299999999964</v>
          </cell>
        </row>
        <row r="74">
          <cell r="A74" t="str">
            <v>MAYO</v>
          </cell>
          <cell r="B74">
            <v>31</v>
          </cell>
          <cell r="C74">
            <v>2712.5</v>
          </cell>
          <cell r="D74">
            <v>7.4095000000000004</v>
          </cell>
          <cell r="E74">
            <v>20098.268750000003</v>
          </cell>
          <cell r="F74">
            <v>117352.40125000001</v>
          </cell>
          <cell r="G74">
            <v>500000</v>
          </cell>
          <cell r="H74">
            <v>7.4095000000000004</v>
          </cell>
          <cell r="I74">
            <v>12950</v>
          </cell>
          <cell r="K74">
            <v>2650.0000000000414</v>
          </cell>
          <cell r="L74">
            <v>68.635000000001071</v>
          </cell>
        </row>
        <row r="75">
          <cell r="A75" t="str">
            <v>JUNIO</v>
          </cell>
          <cell r="B75">
            <v>4</v>
          </cell>
          <cell r="C75">
            <v>93.86</v>
          </cell>
          <cell r="D75">
            <v>7.6393000000000004</v>
          </cell>
          <cell r="E75">
            <v>717.02469800000006</v>
          </cell>
          <cell r="F75">
            <v>118069.425948</v>
          </cell>
          <cell r="G75">
            <v>500000</v>
          </cell>
          <cell r="I75">
            <v>15662.5</v>
          </cell>
          <cell r="J75">
            <v>7.65</v>
          </cell>
          <cell r="K75">
            <v>120249.99999999997</v>
          </cell>
          <cell r="L75">
            <v>3767.4912499999987</v>
          </cell>
        </row>
        <row r="76">
          <cell r="I76">
            <v>93.86</v>
          </cell>
          <cell r="J76">
            <v>7.65</v>
          </cell>
          <cell r="L76">
            <v>1.0043019999999936</v>
          </cell>
        </row>
        <row r="78">
          <cell r="C78" t="str">
            <v>=</v>
          </cell>
          <cell r="E78" t="str">
            <v>=</v>
          </cell>
          <cell r="K78" t="str">
            <v>=</v>
          </cell>
          <cell r="L78" t="str">
            <v>=</v>
          </cell>
        </row>
        <row r="79">
          <cell r="C79">
            <v>15756.36</v>
          </cell>
          <cell r="E79">
            <v>118069.425948</v>
          </cell>
          <cell r="K79">
            <v>-84600.000000000029</v>
          </cell>
          <cell r="L79">
            <v>2467.3880520000057</v>
          </cell>
        </row>
        <row r="80">
          <cell r="A80" t="str">
            <v>MINAS DE BACIS, S.A. DE C.V.</v>
          </cell>
        </row>
        <row r="81">
          <cell r="A81" t="str">
            <v>INVERSIONES EN MONEDA EXTRANJERA</v>
          </cell>
          <cell r="G81" t="str">
            <v/>
          </cell>
          <cell r="H81" t="str">
            <v/>
          </cell>
        </row>
        <row r="82">
          <cell r="A82" t="str">
            <v>CON  : CALIFORNIA COMERCE BANK</v>
          </cell>
        </row>
        <row r="83">
          <cell r="A83" t="str">
            <v>CAPITAL      :</v>
          </cell>
          <cell r="C83">
            <v>500000</v>
          </cell>
        </row>
        <row r="84">
          <cell r="A84" t="str">
            <v>T.C. INICIO  :</v>
          </cell>
          <cell r="C84">
            <v>7.55</v>
          </cell>
        </row>
        <row r="85">
          <cell r="A85" t="str">
            <v>TASA NORMAL  :</v>
          </cell>
          <cell r="C85">
            <v>5.5</v>
          </cell>
        </row>
        <row r="86">
          <cell r="A86" t="str">
            <v>TASA MORAT.  :</v>
          </cell>
          <cell r="C86">
            <v>0</v>
          </cell>
        </row>
        <row r="87">
          <cell r="A87" t="str">
            <v>PLAZO DIAS   :</v>
          </cell>
          <cell r="C87">
            <v>182</v>
          </cell>
        </row>
        <row r="88">
          <cell r="A88" t="str">
            <v>FECHA INICIO :</v>
          </cell>
          <cell r="C88" t="str">
            <v>FEB-05-96</v>
          </cell>
        </row>
        <row r="89">
          <cell r="A89" t="str">
            <v>FECHA VENC.  :</v>
          </cell>
          <cell r="C89" t="str">
            <v>AGO-05-96</v>
          </cell>
        </row>
        <row r="92">
          <cell r="C92" t="str">
            <v>INTERESES</v>
          </cell>
          <cell r="D92" t="str">
            <v>T.C.</v>
          </cell>
          <cell r="E92" t="str">
            <v>INTERESES</v>
          </cell>
          <cell r="F92" t="str">
            <v>INTERESES</v>
          </cell>
          <cell r="G92" t="str">
            <v>CAPITAL</v>
          </cell>
          <cell r="H92" t="str">
            <v>T.C.</v>
          </cell>
          <cell r="I92" t="str">
            <v>INTERESES</v>
          </cell>
          <cell r="J92" t="str">
            <v>T.C.</v>
          </cell>
          <cell r="K92" t="str">
            <v>FLUCTUACION</v>
          </cell>
          <cell r="L92" t="str">
            <v>FLUCTUACION</v>
          </cell>
        </row>
        <row r="93">
          <cell r="A93" t="str">
            <v>PERIODO</v>
          </cell>
          <cell r="C93" t="str">
            <v>DOLARES</v>
          </cell>
          <cell r="D93" t="str">
            <v>REGISTRO</v>
          </cell>
          <cell r="E93" t="str">
            <v>PESOS</v>
          </cell>
          <cell r="F93" t="str">
            <v>LIBROS</v>
          </cell>
          <cell r="G93" t="str">
            <v>FLUCTUADO</v>
          </cell>
          <cell r="H93" t="str">
            <v>FIN MES</v>
          </cell>
          <cell r="I93" t="str">
            <v>FLUCTUADOS</v>
          </cell>
          <cell r="J93" t="str">
            <v>PAGO</v>
          </cell>
          <cell r="K93" t="str">
            <v>CAPITAL</v>
          </cell>
          <cell r="L93" t="str">
            <v>INTERESES</v>
          </cell>
        </row>
        <row r="96">
          <cell r="A96" t="str">
            <v>FEBRERO</v>
          </cell>
          <cell r="B96">
            <v>24</v>
          </cell>
          <cell r="C96">
            <v>1808.2191780821918</v>
          </cell>
          <cell r="D96">
            <v>7.5389999999999997</v>
          </cell>
          <cell r="E96">
            <v>13632.164383561643</v>
          </cell>
          <cell r="F96">
            <v>13632.164383561643</v>
          </cell>
          <cell r="G96">
            <v>500000</v>
          </cell>
          <cell r="H96">
            <v>7.5389999999999997</v>
          </cell>
          <cell r="I96">
            <v>0</v>
          </cell>
          <cell r="K96">
            <v>-5500.00000000006</v>
          </cell>
          <cell r="L96">
            <v>0</v>
          </cell>
        </row>
        <row r="97">
          <cell r="A97" t="str">
            <v>MARZO</v>
          </cell>
          <cell r="B97">
            <v>32</v>
          </cell>
          <cell r="C97">
            <v>2410.9589041095892</v>
          </cell>
          <cell r="D97">
            <v>7.5526</v>
          </cell>
          <cell r="E97">
            <v>18209.008219178082</v>
          </cell>
          <cell r="F97">
            <v>31841.172602739724</v>
          </cell>
          <cell r="G97">
            <v>500000</v>
          </cell>
          <cell r="H97">
            <v>7.5526</v>
          </cell>
          <cell r="I97">
            <v>1808.2191780821918</v>
          </cell>
          <cell r="K97">
            <v>6800.0000000001392</v>
          </cell>
          <cell r="L97">
            <v>24.591780821918313</v>
          </cell>
        </row>
        <row r="98">
          <cell r="A98" t="str">
            <v>ABRIL</v>
          </cell>
          <cell r="B98">
            <v>30</v>
          </cell>
          <cell r="C98">
            <v>2260.2739726027398</v>
          </cell>
          <cell r="D98">
            <v>7.4042000000000003</v>
          </cell>
          <cell r="E98">
            <v>16735.520547945209</v>
          </cell>
          <cell r="F98">
            <v>48576.693150684936</v>
          </cell>
          <cell r="G98">
            <v>500000</v>
          </cell>
          <cell r="H98">
            <v>7.4042000000000003</v>
          </cell>
          <cell r="I98">
            <v>4219.178082191781</v>
          </cell>
          <cell r="K98">
            <v>-74199.999999999825</v>
          </cell>
          <cell r="L98">
            <v>-626.12602739725878</v>
          </cell>
        </row>
        <row r="99">
          <cell r="A99" t="str">
            <v>MAYO</v>
          </cell>
          <cell r="B99">
            <v>31</v>
          </cell>
          <cell r="C99">
            <v>2335.6164383561645</v>
          </cell>
          <cell r="D99">
            <v>7.4095000000000004</v>
          </cell>
          <cell r="E99">
            <v>17305.750000000004</v>
          </cell>
          <cell r="F99">
            <v>65882.443150684936</v>
          </cell>
          <cell r="G99">
            <v>500000</v>
          </cell>
          <cell r="H99">
            <v>7.4095000000000004</v>
          </cell>
          <cell r="I99">
            <v>6479.4520547945212</v>
          </cell>
          <cell r="K99">
            <v>2650.0000000000414</v>
          </cell>
          <cell r="L99">
            <v>34.341095890411495</v>
          </cell>
        </row>
        <row r="100">
          <cell r="A100" t="str">
            <v>JUNIO</v>
          </cell>
          <cell r="B100">
            <v>30</v>
          </cell>
          <cell r="C100">
            <v>2260.2739726027398</v>
          </cell>
          <cell r="D100">
            <v>7.6322999999999999</v>
          </cell>
          <cell r="E100">
            <v>17251.089041095889</v>
          </cell>
          <cell r="F100">
            <v>83133.532191780832</v>
          </cell>
          <cell r="G100">
            <v>500000</v>
          </cell>
          <cell r="H100">
            <v>7.6322999999999999</v>
          </cell>
          <cell r="I100">
            <v>8815.0684931506858</v>
          </cell>
          <cell r="K100">
            <v>111399.99999999972</v>
          </cell>
          <cell r="L100">
            <v>1963.9972602739679</v>
          </cell>
        </row>
        <row r="101">
          <cell r="A101" t="str">
            <v>JULIO</v>
          </cell>
          <cell r="B101">
            <v>31</v>
          </cell>
          <cell r="C101">
            <v>2335.6164383561645</v>
          </cell>
          <cell r="D101">
            <v>7.6135000000000002</v>
          </cell>
          <cell r="E101">
            <v>17782.215753424658</v>
          </cell>
          <cell r="F101">
            <v>100915.74794520548</v>
          </cell>
          <cell r="G101">
            <v>500000</v>
          </cell>
          <cell r="H101">
            <v>7.6135000000000002</v>
          </cell>
          <cell r="I101">
            <v>11075.342465753425</v>
          </cell>
          <cell r="K101">
            <v>-9399.9999999998527</v>
          </cell>
          <cell r="L101">
            <v>-208.21643835616112</v>
          </cell>
        </row>
        <row r="102">
          <cell r="A102" t="str">
            <v>AGOSTO</v>
          </cell>
          <cell r="B102">
            <v>4</v>
          </cell>
          <cell r="C102">
            <v>263.88</v>
          </cell>
          <cell r="D102">
            <v>7.5205000000000002</v>
          </cell>
          <cell r="E102">
            <v>1984.50954</v>
          </cell>
          <cell r="F102">
            <v>102900.25748520548</v>
          </cell>
          <cell r="G102">
            <v>500000</v>
          </cell>
          <cell r="I102">
            <v>13410.95890410959</v>
          </cell>
          <cell r="J102">
            <v>7.4854000000000003</v>
          </cell>
          <cell r="K102">
            <v>-64049.999999999942</v>
          </cell>
          <cell r="L102">
            <v>-1717.9438356164369</v>
          </cell>
        </row>
        <row r="103">
          <cell r="I103">
            <v>263.88</v>
          </cell>
          <cell r="J103">
            <v>7.4854000000000003</v>
          </cell>
          <cell r="L103">
            <v>-9.2621879999999752</v>
          </cell>
        </row>
        <row r="105">
          <cell r="C105" t="str">
            <v>=</v>
          </cell>
          <cell r="E105" t="str">
            <v>=</v>
          </cell>
          <cell r="K105" t="str">
            <v>=</v>
          </cell>
          <cell r="L105" t="str">
            <v>=</v>
          </cell>
        </row>
        <row r="106">
          <cell r="C106">
            <v>13674.838904109589</v>
          </cell>
          <cell r="E106">
            <v>102900.25748520548</v>
          </cell>
          <cell r="K106">
            <v>-32299.999999999782</v>
          </cell>
          <cell r="L106">
            <v>-538.61835238355911</v>
          </cell>
        </row>
        <row r="107">
          <cell r="A107" t="str">
            <v>MINAS DE BACIS, S.A. DE C.V.</v>
          </cell>
        </row>
        <row r="108">
          <cell r="A108" t="str">
            <v>INVERSIONES EN MONEDA EXTRANJERA</v>
          </cell>
          <cell r="G108" t="str">
            <v/>
          </cell>
          <cell r="H108" t="str">
            <v/>
          </cell>
        </row>
        <row r="109">
          <cell r="A109" t="str">
            <v>CON  : CALIFORNIA COMERCE BANK</v>
          </cell>
        </row>
        <row r="110">
          <cell r="A110" t="str">
            <v>CAPITAL      :</v>
          </cell>
          <cell r="C110">
            <v>500000</v>
          </cell>
        </row>
        <row r="111">
          <cell r="A111" t="str">
            <v>T.C. INICIO  :</v>
          </cell>
          <cell r="C111">
            <v>7.65</v>
          </cell>
        </row>
        <row r="112">
          <cell r="A112" t="str">
            <v>TASA NORMAL  :</v>
          </cell>
          <cell r="C112">
            <v>6.3</v>
          </cell>
        </row>
        <row r="113">
          <cell r="A113" t="str">
            <v>TASA MORAT.  :</v>
          </cell>
          <cell r="C113">
            <v>0</v>
          </cell>
        </row>
        <row r="114">
          <cell r="A114" t="str">
            <v>PLAZO DIAS   :</v>
          </cell>
          <cell r="C114">
            <v>182</v>
          </cell>
        </row>
        <row r="115">
          <cell r="A115" t="str">
            <v>FECHA INICIO :</v>
          </cell>
          <cell r="C115" t="str">
            <v>JUN-06-96</v>
          </cell>
        </row>
        <row r="116">
          <cell r="A116" t="str">
            <v>FECHA VENC.  :</v>
          </cell>
          <cell r="C116" t="str">
            <v>DIC-05-96</v>
          </cell>
        </row>
        <row r="119">
          <cell r="C119" t="str">
            <v>INTERESES</v>
          </cell>
          <cell r="D119" t="str">
            <v>T.C.</v>
          </cell>
          <cell r="E119" t="str">
            <v>INTERESES</v>
          </cell>
          <cell r="F119" t="str">
            <v>INTERESES</v>
          </cell>
          <cell r="G119" t="str">
            <v>CAPITAL</v>
          </cell>
          <cell r="H119" t="str">
            <v>T.C.</v>
          </cell>
          <cell r="I119" t="str">
            <v>INTERESES</v>
          </cell>
          <cell r="J119" t="str">
            <v>T.C.</v>
          </cell>
          <cell r="K119" t="str">
            <v>FLUCTUACION</v>
          </cell>
          <cell r="L119" t="str">
            <v>FLUCTUACION</v>
          </cell>
        </row>
        <row r="120">
          <cell r="A120" t="str">
            <v>PERIODO</v>
          </cell>
          <cell r="C120" t="str">
            <v>DOLARES</v>
          </cell>
          <cell r="D120" t="str">
            <v>REGISTRO</v>
          </cell>
          <cell r="E120" t="str">
            <v>PESOS</v>
          </cell>
          <cell r="F120" t="str">
            <v>LIBROS</v>
          </cell>
          <cell r="G120" t="str">
            <v>FLUCTUADO</v>
          </cell>
          <cell r="H120" t="str">
            <v>FIN MES</v>
          </cell>
          <cell r="I120" t="str">
            <v>FLUCTUADOS</v>
          </cell>
          <cell r="J120" t="str">
            <v>PAGO</v>
          </cell>
          <cell r="K120" t="str">
            <v>CAPITAL</v>
          </cell>
          <cell r="L120" t="str">
            <v>INTERESES</v>
          </cell>
        </row>
        <row r="124">
          <cell r="A124" t="str">
            <v>JUNIO</v>
          </cell>
          <cell r="B124">
            <v>25</v>
          </cell>
          <cell r="C124">
            <v>2157.5342465753424</v>
          </cell>
          <cell r="D124">
            <v>7.6322999999999999</v>
          </cell>
          <cell r="E124">
            <v>16466.948630136987</v>
          </cell>
          <cell r="F124">
            <v>16466.948630136987</v>
          </cell>
          <cell r="G124">
            <v>500000</v>
          </cell>
          <cell r="H124">
            <v>7.6322999999999999</v>
          </cell>
          <cell r="I124">
            <v>0</v>
          </cell>
          <cell r="K124">
            <v>-8850.0000000002474</v>
          </cell>
          <cell r="L124">
            <v>0</v>
          </cell>
        </row>
        <row r="125">
          <cell r="A125" t="str">
            <v>JULIO</v>
          </cell>
          <cell r="B125">
            <v>31</v>
          </cell>
          <cell r="C125">
            <v>2675.3424657534247</v>
          </cell>
          <cell r="D125">
            <v>7.6135000000000002</v>
          </cell>
          <cell r="E125">
            <v>20368.719863013699</v>
          </cell>
          <cell r="F125">
            <v>36835.66849315069</v>
          </cell>
          <cell r="G125">
            <v>500000</v>
          </cell>
          <cell r="H125">
            <v>7.6135000000000002</v>
          </cell>
          <cell r="I125">
            <v>2157.5342465753424</v>
          </cell>
          <cell r="K125">
            <v>-9399.9999999998527</v>
          </cell>
          <cell r="L125">
            <v>-40.561643835615804</v>
          </cell>
        </row>
        <row r="126">
          <cell r="A126" t="str">
            <v>AGOSTO</v>
          </cell>
          <cell r="B126">
            <v>31</v>
          </cell>
          <cell r="C126">
            <v>2675.3424657534247</v>
          </cell>
          <cell r="D126">
            <v>7.5205000000000002</v>
          </cell>
          <cell r="E126">
            <v>20119.913013698631</v>
          </cell>
          <cell r="F126">
            <v>56955.581506849325</v>
          </cell>
          <cell r="G126">
            <v>500000</v>
          </cell>
          <cell r="H126">
            <v>7.5205000000000002</v>
          </cell>
          <cell r="I126">
            <v>4832.8767123287671</v>
          </cell>
          <cell r="K126">
            <v>-46499.999999999985</v>
          </cell>
          <cell r="L126">
            <v>-449.45753424657522</v>
          </cell>
        </row>
        <row r="127">
          <cell r="A127" t="str">
            <v>SEPTIEMBRE</v>
          </cell>
          <cell r="B127">
            <v>30</v>
          </cell>
          <cell r="C127">
            <v>2589.0410958904113</v>
          </cell>
          <cell r="D127">
            <v>7.5373999999999999</v>
          </cell>
          <cell r="E127">
            <v>19514.638356164385</v>
          </cell>
          <cell r="F127">
            <v>76470.219863013714</v>
          </cell>
          <cell r="G127">
            <v>500000</v>
          </cell>
          <cell r="H127">
            <v>7.5373999999999999</v>
          </cell>
          <cell r="I127">
            <v>7508.2191780821922</v>
          </cell>
          <cell r="K127">
            <v>8449.9999999998472</v>
          </cell>
          <cell r="L127">
            <v>126.88890410958675</v>
          </cell>
        </row>
        <row r="128">
          <cell r="A128" t="str">
            <v>OCTUBRE</v>
          </cell>
          <cell r="B128">
            <v>31</v>
          </cell>
          <cell r="C128">
            <v>2675.3424657534247</v>
          </cell>
          <cell r="D128">
            <v>7.9172000000000002</v>
          </cell>
          <cell r="E128">
            <v>21181.221369863015</v>
          </cell>
          <cell r="F128">
            <v>97651.441232876736</v>
          </cell>
          <cell r="G128">
            <v>500000</v>
          </cell>
          <cell r="H128">
            <v>7.9172000000000002</v>
          </cell>
          <cell r="I128">
            <v>10097.260273972603</v>
          </cell>
          <cell r="K128">
            <v>189900.00000000017</v>
          </cell>
          <cell r="L128">
            <v>3834.939452054798</v>
          </cell>
        </row>
        <row r="129">
          <cell r="A129" t="str">
            <v>NOVIEMBRE</v>
          </cell>
          <cell r="B129">
            <v>30</v>
          </cell>
          <cell r="C129">
            <v>2589.0410958904113</v>
          </cell>
          <cell r="D129">
            <v>7.8857999999999997</v>
          </cell>
          <cell r="E129">
            <v>20416.660273972604</v>
          </cell>
          <cell r="F129">
            <v>118068.10150684934</v>
          </cell>
          <cell r="G129">
            <v>500000</v>
          </cell>
          <cell r="H129">
            <v>7.8857999999999997</v>
          </cell>
          <cell r="I129">
            <v>12772.602739726028</v>
          </cell>
          <cell r="K129">
            <v>-15700.000000000269</v>
          </cell>
          <cell r="L129">
            <v>-401.05972602740417</v>
          </cell>
        </row>
        <row r="130">
          <cell r="A130" t="str">
            <v>DICIEMBRE</v>
          </cell>
          <cell r="B130">
            <v>4</v>
          </cell>
          <cell r="C130">
            <v>431.52547945205481</v>
          </cell>
          <cell r="D130">
            <v>7.8509000000000002</v>
          </cell>
          <cell r="E130">
            <v>3387.863386630137</v>
          </cell>
          <cell r="F130">
            <v>121455.96489347948</v>
          </cell>
          <cell r="G130">
            <v>500000</v>
          </cell>
          <cell r="H130">
            <v>7.8509000000000002</v>
          </cell>
          <cell r="I130">
            <v>15361.64383561644</v>
          </cell>
          <cell r="J130">
            <v>7.8787000000000003</v>
          </cell>
          <cell r="K130">
            <v>-3549.9999999997199</v>
          </cell>
          <cell r="L130">
            <v>-536.12136986300584</v>
          </cell>
        </row>
        <row r="131">
          <cell r="I131">
            <v>431.52547945205481</v>
          </cell>
          <cell r="J131">
            <v>7.8787000000000003</v>
          </cell>
          <cell r="L131">
            <v>0</v>
          </cell>
        </row>
        <row r="132">
          <cell r="A132" t="str">
            <v>ENERO</v>
          </cell>
          <cell r="C132">
            <v>-67.109503369040496</v>
          </cell>
          <cell r="D132">
            <v>7.8509000000000002</v>
          </cell>
          <cell r="E132">
            <v>-526.87</v>
          </cell>
          <cell r="I132">
            <v>-67.109503369040496</v>
          </cell>
        </row>
        <row r="133">
          <cell r="I133">
            <v>15726.059811699455</v>
          </cell>
          <cell r="J133">
            <v>7.8174000000000001</v>
          </cell>
          <cell r="L133">
            <v>-526.82300369193308</v>
          </cell>
        </row>
        <row r="136">
          <cell r="C136">
            <v>15726.059811699455</v>
          </cell>
          <cell r="E136">
            <v>120929.09489347949</v>
          </cell>
          <cell r="K136">
            <v>114349.99999999996</v>
          </cell>
          <cell r="L136">
            <v>2007.8050784998509</v>
          </cell>
        </row>
        <row r="137">
          <cell r="A137" t="str">
            <v>MINAS DE BACIS, S.A. DE C.V.</v>
          </cell>
        </row>
        <row r="138">
          <cell r="A138" t="str">
            <v>INVERSIONES EN MONEDA EXTRANJERA</v>
          </cell>
          <cell r="G138" t="str">
            <v/>
          </cell>
          <cell r="H138" t="str">
            <v/>
          </cell>
        </row>
        <row r="139">
          <cell r="A139" t="str">
            <v>CON  : CALIFORNIA COMERCE BANK</v>
          </cell>
        </row>
        <row r="140">
          <cell r="A140" t="str">
            <v>CAPITAL      :</v>
          </cell>
          <cell r="C140">
            <v>500000</v>
          </cell>
        </row>
        <row r="141">
          <cell r="A141" t="str">
            <v>T.C. INICIO  :</v>
          </cell>
          <cell r="C141">
            <v>7.4854000000000003</v>
          </cell>
        </row>
        <row r="142">
          <cell r="A142" t="str">
            <v>TASA NORMAL  :</v>
          </cell>
          <cell r="C142">
            <v>5.5</v>
          </cell>
        </row>
        <row r="143">
          <cell r="A143" t="str">
            <v>TASA MORAT.  :</v>
          </cell>
          <cell r="C143">
            <v>0</v>
          </cell>
        </row>
        <row r="144">
          <cell r="A144" t="str">
            <v>PLAZO DIAS   :</v>
          </cell>
          <cell r="C144">
            <v>180</v>
          </cell>
        </row>
        <row r="145">
          <cell r="A145" t="str">
            <v>FECHA INICIO :</v>
          </cell>
          <cell r="C145" t="str">
            <v>AGO-06-96</v>
          </cell>
        </row>
        <row r="146">
          <cell r="A146" t="str">
            <v>FECHA VENC.  :</v>
          </cell>
          <cell r="C146" t="str">
            <v>FEB-02-97</v>
          </cell>
        </row>
        <row r="149">
          <cell r="C149" t="str">
            <v>INTERESES</v>
          </cell>
          <cell r="D149" t="str">
            <v>T.C.</v>
          </cell>
          <cell r="E149" t="str">
            <v>INTERESES</v>
          </cell>
          <cell r="F149" t="str">
            <v>INTERESES</v>
          </cell>
          <cell r="G149" t="str">
            <v>CAPITAL</v>
          </cell>
          <cell r="H149" t="str">
            <v>T.C.</v>
          </cell>
          <cell r="I149" t="str">
            <v>INTERESES</v>
          </cell>
          <cell r="J149" t="str">
            <v>T.C.</v>
          </cell>
          <cell r="K149" t="str">
            <v>FLUCTUACION</v>
          </cell>
          <cell r="L149" t="str">
            <v>FLUCTUACION</v>
          </cell>
        </row>
        <row r="150">
          <cell r="A150" t="str">
            <v>PERIODO</v>
          </cell>
          <cell r="C150" t="str">
            <v>DOLARES</v>
          </cell>
          <cell r="D150" t="str">
            <v>REGISTRO</v>
          </cell>
          <cell r="E150" t="str">
            <v>PESOS</v>
          </cell>
          <cell r="F150" t="str">
            <v>LIBROS</v>
          </cell>
          <cell r="G150" t="str">
            <v>FLUCTUADO</v>
          </cell>
          <cell r="H150" t="str">
            <v>FIN MES</v>
          </cell>
          <cell r="I150" t="str">
            <v>FLUCTUADOS</v>
          </cell>
          <cell r="J150" t="str">
            <v>PAGO</v>
          </cell>
          <cell r="K150" t="str">
            <v>CAPITAL</v>
          </cell>
          <cell r="L150" t="str">
            <v>INTERESES</v>
          </cell>
        </row>
        <row r="154">
          <cell r="A154" t="str">
            <v>AGOSTO</v>
          </cell>
          <cell r="B154">
            <v>26</v>
          </cell>
          <cell r="C154">
            <v>1958.9041095890411</v>
          </cell>
          <cell r="D154">
            <v>7.5205000000000002</v>
          </cell>
          <cell r="E154">
            <v>14731.938356164384</v>
          </cell>
          <cell r="F154">
            <v>14731.938356164384</v>
          </cell>
          <cell r="G154">
            <v>500000</v>
          </cell>
          <cell r="H154">
            <v>7.5205000000000002</v>
          </cell>
          <cell r="I154">
            <v>0</v>
          </cell>
          <cell r="K154">
            <v>17549.999999999956</v>
          </cell>
          <cell r="L154">
            <v>0</v>
          </cell>
        </row>
        <row r="155">
          <cell r="A155" t="str">
            <v>SEPTIEMBRE</v>
          </cell>
          <cell r="B155">
            <v>30</v>
          </cell>
          <cell r="C155">
            <v>2260.2739726027398</v>
          </cell>
          <cell r="D155">
            <v>7.5373999999999999</v>
          </cell>
          <cell r="E155">
            <v>17036.589041095889</v>
          </cell>
          <cell r="F155">
            <v>31768.527397260274</v>
          </cell>
          <cell r="G155">
            <v>500000</v>
          </cell>
          <cell r="H155">
            <v>7.5373999999999999</v>
          </cell>
          <cell r="I155">
            <v>1958.9041095890411</v>
          </cell>
          <cell r="K155">
            <v>8449.9999999998472</v>
          </cell>
          <cell r="L155">
            <v>33.10547945205419</v>
          </cell>
        </row>
        <row r="156">
          <cell r="A156" t="str">
            <v>OCTUBRE</v>
          </cell>
          <cell r="B156">
            <v>31</v>
          </cell>
          <cell r="C156">
            <v>2335.6164383561645</v>
          </cell>
          <cell r="D156">
            <v>7.9172000000000002</v>
          </cell>
          <cell r="E156">
            <v>18491.542465753428</v>
          </cell>
          <cell r="F156">
            <v>50260.069863013705</v>
          </cell>
          <cell r="G156">
            <v>500000</v>
          </cell>
          <cell r="H156">
            <v>7.9172000000000002</v>
          </cell>
          <cell r="I156">
            <v>4219.178082191781</v>
          </cell>
          <cell r="K156">
            <v>189900.00000000017</v>
          </cell>
          <cell r="L156">
            <v>1602.4438356164399</v>
          </cell>
        </row>
        <row r="157">
          <cell r="A157" t="str">
            <v>NOVIEMBRE</v>
          </cell>
          <cell r="B157">
            <v>30</v>
          </cell>
          <cell r="C157">
            <v>2260.2739726027398</v>
          </cell>
          <cell r="D157">
            <v>7.8857999999999997</v>
          </cell>
          <cell r="E157">
            <v>17824.068493150684</v>
          </cell>
          <cell r="F157">
            <v>68084.138356164389</v>
          </cell>
          <cell r="G157">
            <v>500000</v>
          </cell>
          <cell r="H157">
            <v>7.8857999999999997</v>
          </cell>
          <cell r="I157">
            <v>6554.7945205479455</v>
          </cell>
          <cell r="K157">
            <v>-15700.000000000269</v>
          </cell>
          <cell r="L157">
            <v>-205.82054794520903</v>
          </cell>
        </row>
        <row r="158">
          <cell r="A158" t="str">
            <v>DICIEMBRE</v>
          </cell>
          <cell r="B158">
            <v>31</v>
          </cell>
          <cell r="C158">
            <v>2335.6164383561645</v>
          </cell>
          <cell r="D158">
            <v>7.8509000000000002</v>
          </cell>
          <cell r="E158">
            <v>18336.691095890412</v>
          </cell>
          <cell r="F158">
            <v>86420.829452054808</v>
          </cell>
          <cell r="G158">
            <v>500000</v>
          </cell>
          <cell r="H158">
            <v>7.8509000000000002</v>
          </cell>
          <cell r="I158">
            <v>8815.0684931506858</v>
          </cell>
          <cell r="K158">
            <v>-17449.999999999742</v>
          </cell>
          <cell r="L158">
            <v>-307.64589041095439</v>
          </cell>
        </row>
        <row r="159">
          <cell r="A159" t="str">
            <v>ENERO</v>
          </cell>
          <cell r="B159">
            <v>31</v>
          </cell>
          <cell r="C159">
            <v>2335.6164383561645</v>
          </cell>
          <cell r="D159">
            <v>0</v>
          </cell>
          <cell r="E159">
            <v>0</v>
          </cell>
          <cell r="F159">
            <v>86420.829452054808</v>
          </cell>
          <cell r="G159">
            <v>500000</v>
          </cell>
          <cell r="H159">
            <v>0</v>
          </cell>
          <cell r="I159">
            <v>11150.68493150685</v>
          </cell>
          <cell r="K159">
            <v>0</v>
          </cell>
          <cell r="L159">
            <v>0</v>
          </cell>
        </row>
        <row r="160">
          <cell r="A160" t="str">
            <v>FEBRERO</v>
          </cell>
          <cell r="B160">
            <v>1</v>
          </cell>
          <cell r="C160">
            <v>75.342465753424662</v>
          </cell>
          <cell r="D160">
            <v>0</v>
          </cell>
          <cell r="E160">
            <v>0</v>
          </cell>
          <cell r="F160">
            <v>86420.829452054808</v>
          </cell>
          <cell r="G160">
            <v>500000</v>
          </cell>
          <cell r="H160">
            <v>0</v>
          </cell>
          <cell r="I160">
            <v>13486.301369863015</v>
          </cell>
          <cell r="K160">
            <v>0</v>
          </cell>
          <cell r="L160">
            <v>0</v>
          </cell>
        </row>
        <row r="163">
          <cell r="C163">
            <v>13561.64383561644</v>
          </cell>
          <cell r="E163">
            <v>86420.829452054808</v>
          </cell>
          <cell r="K163">
            <v>182749.99999999997</v>
          </cell>
          <cell r="L163">
            <v>1122.0828767123307</v>
          </cell>
        </row>
        <row r="164">
          <cell r="A164" t="str">
            <v>MINAS DE BACIS, S.A. DE C.V.</v>
          </cell>
        </row>
        <row r="165">
          <cell r="A165" t="str">
            <v>INVERSIONES EN MONEDA EXTRANJERA</v>
          </cell>
          <cell r="G165" t="str">
            <v/>
          </cell>
          <cell r="H165" t="str">
            <v/>
          </cell>
        </row>
        <row r="166">
          <cell r="A166" t="str">
            <v>CON  : CALIFORNIA COMERCE BANK</v>
          </cell>
        </row>
        <row r="167">
          <cell r="A167" t="str">
            <v>CAPITAL      :</v>
          </cell>
          <cell r="C167">
            <v>500000</v>
          </cell>
        </row>
        <row r="168">
          <cell r="A168" t="str">
            <v>T.C. INICIO  :</v>
          </cell>
          <cell r="C168">
            <v>7.8787000000000003</v>
          </cell>
        </row>
        <row r="169">
          <cell r="A169" t="str">
            <v>TASA NORMAL  :</v>
          </cell>
          <cell r="C169">
            <v>6.3</v>
          </cell>
        </row>
        <row r="170">
          <cell r="A170" t="str">
            <v>TASA MORAT.  :</v>
          </cell>
          <cell r="C170">
            <v>0</v>
          </cell>
        </row>
        <row r="171">
          <cell r="A171" t="str">
            <v>PLAZO DIAS   :</v>
          </cell>
          <cell r="C171">
            <v>183</v>
          </cell>
        </row>
        <row r="172">
          <cell r="A172" t="str">
            <v>FECHA INICIO :</v>
          </cell>
          <cell r="C172" t="str">
            <v>DIC-06-96</v>
          </cell>
        </row>
        <row r="173">
          <cell r="A173" t="str">
            <v>FECHA VENC.  :</v>
          </cell>
          <cell r="C173" t="str">
            <v>JUN-06-97</v>
          </cell>
        </row>
        <row r="176">
          <cell r="C176" t="str">
            <v>INTERESES</v>
          </cell>
          <cell r="D176" t="str">
            <v>T.C.</v>
          </cell>
          <cell r="E176" t="str">
            <v>INTERESES</v>
          </cell>
          <cell r="F176" t="str">
            <v>INTERESES</v>
          </cell>
          <cell r="G176" t="str">
            <v>CAPITAL</v>
          </cell>
          <cell r="H176" t="str">
            <v>T.C.</v>
          </cell>
          <cell r="I176" t="str">
            <v>INTERESES</v>
          </cell>
          <cell r="J176" t="str">
            <v>T.C.</v>
          </cell>
          <cell r="K176" t="str">
            <v>FLUCTUACION</v>
          </cell>
          <cell r="L176" t="str">
            <v>FLUCTUACION</v>
          </cell>
        </row>
        <row r="177">
          <cell r="A177" t="str">
            <v>PERIODO</v>
          </cell>
          <cell r="C177" t="str">
            <v>DOLARES</v>
          </cell>
          <cell r="D177" t="str">
            <v>REGISTRO</v>
          </cell>
          <cell r="E177" t="str">
            <v>PESOS</v>
          </cell>
          <cell r="F177" t="str">
            <v>LIBROS</v>
          </cell>
          <cell r="G177" t="str">
            <v>FLUCTUADO</v>
          </cell>
          <cell r="H177" t="str">
            <v>FIN MES</v>
          </cell>
          <cell r="I177" t="str">
            <v>FLUCTUADOS</v>
          </cell>
          <cell r="J177" t="str">
            <v>PAGO</v>
          </cell>
          <cell r="K177" t="str">
            <v>CAPITAL</v>
          </cell>
          <cell r="L177" t="str">
            <v>INTERESES</v>
          </cell>
        </row>
        <row r="181">
          <cell r="A181" t="str">
            <v>DICIEMBRE</v>
          </cell>
          <cell r="B181">
            <v>26</v>
          </cell>
          <cell r="C181">
            <v>2243.8356164383563</v>
          </cell>
          <cell r="D181">
            <v>7.8509000000000002</v>
          </cell>
          <cell r="E181">
            <v>17616.129041095894</v>
          </cell>
          <cell r="F181">
            <v>17616.129041095894</v>
          </cell>
          <cell r="G181">
            <v>500000</v>
          </cell>
          <cell r="H181">
            <v>7.8509000000000002</v>
          </cell>
          <cell r="I181">
            <v>0</v>
          </cell>
          <cell r="K181">
            <v>-13900.000000000024</v>
          </cell>
          <cell r="L181">
            <v>0</v>
          </cell>
        </row>
        <row r="182">
          <cell r="A182" t="str">
            <v>ENERO</v>
          </cell>
          <cell r="B182">
            <v>31</v>
          </cell>
          <cell r="C182">
            <v>2675.3424657534247</v>
          </cell>
          <cell r="D182">
            <v>0</v>
          </cell>
          <cell r="E182">
            <v>0</v>
          </cell>
          <cell r="F182">
            <v>17616.129041095894</v>
          </cell>
          <cell r="G182">
            <v>500000</v>
          </cell>
          <cell r="H182">
            <v>0</v>
          </cell>
          <cell r="I182">
            <v>2243.8356164383563</v>
          </cell>
          <cell r="K182">
            <v>0</v>
          </cell>
          <cell r="L182">
            <v>0</v>
          </cell>
        </row>
        <row r="183">
          <cell r="A183" t="str">
            <v>FEBRERO</v>
          </cell>
          <cell r="B183">
            <v>28</v>
          </cell>
          <cell r="C183">
            <v>2416.4383561643835</v>
          </cell>
          <cell r="D183">
            <v>0</v>
          </cell>
          <cell r="E183">
            <v>0</v>
          </cell>
          <cell r="F183">
            <v>17616.129041095894</v>
          </cell>
          <cell r="G183">
            <v>500000</v>
          </cell>
          <cell r="H183">
            <v>0</v>
          </cell>
          <cell r="I183">
            <v>4919.178082191781</v>
          </cell>
          <cell r="K183">
            <v>0</v>
          </cell>
          <cell r="L183">
            <v>0</v>
          </cell>
        </row>
        <row r="184">
          <cell r="A184" t="str">
            <v>MARZO</v>
          </cell>
          <cell r="B184">
            <v>31</v>
          </cell>
          <cell r="C184">
            <v>2675.3424657534247</v>
          </cell>
          <cell r="D184">
            <v>0</v>
          </cell>
          <cell r="E184">
            <v>0</v>
          </cell>
          <cell r="F184">
            <v>17616.129041095894</v>
          </cell>
          <cell r="G184">
            <v>500000</v>
          </cell>
          <cell r="H184">
            <v>0</v>
          </cell>
          <cell r="I184">
            <v>7335.6164383561645</v>
          </cell>
          <cell r="K184">
            <v>0</v>
          </cell>
          <cell r="L184">
            <v>0</v>
          </cell>
        </row>
        <row r="185">
          <cell r="A185" t="str">
            <v>ABRIL</v>
          </cell>
          <cell r="B185">
            <v>30</v>
          </cell>
          <cell r="C185">
            <v>2589.0410958904113</v>
          </cell>
          <cell r="D185">
            <v>0</v>
          </cell>
          <cell r="E185">
            <v>0</v>
          </cell>
          <cell r="F185">
            <v>17616.129041095894</v>
          </cell>
          <cell r="G185">
            <v>500000</v>
          </cell>
          <cell r="H185">
            <v>0</v>
          </cell>
          <cell r="I185">
            <v>10010.95890410959</v>
          </cell>
          <cell r="K185">
            <v>0</v>
          </cell>
          <cell r="L185">
            <v>0</v>
          </cell>
        </row>
        <row r="186">
          <cell r="A186" t="str">
            <v>MAYO</v>
          </cell>
          <cell r="B186">
            <v>31</v>
          </cell>
          <cell r="C186">
            <v>2675.3424657534247</v>
          </cell>
          <cell r="D186">
            <v>0</v>
          </cell>
          <cell r="E186">
            <v>0</v>
          </cell>
          <cell r="F186">
            <v>17616.129041095894</v>
          </cell>
          <cell r="G186">
            <v>500000</v>
          </cell>
          <cell r="H186">
            <v>0</v>
          </cell>
          <cell r="I186">
            <v>12600</v>
          </cell>
          <cell r="K186">
            <v>0</v>
          </cell>
          <cell r="L186">
            <v>0</v>
          </cell>
        </row>
        <row r="187">
          <cell r="A187" t="str">
            <v>JUNIO</v>
          </cell>
          <cell r="B187">
            <v>6</v>
          </cell>
          <cell r="C187">
            <v>517.80821917808225</v>
          </cell>
          <cell r="D187">
            <v>0</v>
          </cell>
          <cell r="E187">
            <v>0</v>
          </cell>
          <cell r="F187">
            <v>17616.129041095894</v>
          </cell>
          <cell r="G187">
            <v>500000</v>
          </cell>
          <cell r="H187">
            <v>0</v>
          </cell>
          <cell r="I187">
            <v>15275.342465753425</v>
          </cell>
          <cell r="K187">
            <v>0</v>
          </cell>
          <cell r="L187">
            <v>0</v>
          </cell>
        </row>
        <row r="190">
          <cell r="C190">
            <v>15793.150684931508</v>
          </cell>
          <cell r="E190">
            <v>17616.129041095894</v>
          </cell>
          <cell r="K190">
            <v>-13900.000000000024</v>
          </cell>
          <cell r="L190">
            <v>0</v>
          </cell>
        </row>
        <row r="218">
          <cell r="A218" t="str">
            <v>MINAS DE BACIS, S.A. DE C.V.</v>
          </cell>
        </row>
        <row r="219">
          <cell r="A219" t="str">
            <v>INVERSIONES EN MONEDA EXTRANJERA</v>
          </cell>
          <cell r="G219" t="str">
            <v/>
          </cell>
          <cell r="H219" t="str">
            <v/>
          </cell>
        </row>
        <row r="220">
          <cell r="A220" t="str">
            <v>CON  : CALIFORNIA COMERCE BANK</v>
          </cell>
        </row>
        <row r="221">
          <cell r="A221" t="str">
            <v>CAPITAL      :</v>
          </cell>
          <cell r="C221">
            <v>500000</v>
          </cell>
        </row>
        <row r="222">
          <cell r="A222" t="str">
            <v>T.C. INICIO  :</v>
          </cell>
          <cell r="C222">
            <v>7.4854000000000003</v>
          </cell>
        </row>
        <row r="223">
          <cell r="A223" t="str">
            <v>TASA NORMAL  :</v>
          </cell>
          <cell r="C223">
            <v>5.5</v>
          </cell>
        </row>
        <row r="224">
          <cell r="A224" t="str">
            <v>TASA MORAT.  :</v>
          </cell>
          <cell r="C224">
            <v>0</v>
          </cell>
        </row>
        <row r="225">
          <cell r="A225" t="str">
            <v>PLAZO DIAS   :</v>
          </cell>
          <cell r="C225">
            <v>180</v>
          </cell>
        </row>
        <row r="226">
          <cell r="A226" t="str">
            <v>FECHA INICIO :</v>
          </cell>
          <cell r="C226" t="str">
            <v>AGO-06-96</v>
          </cell>
        </row>
        <row r="227">
          <cell r="A227" t="str">
            <v>FECHA VENC.  :</v>
          </cell>
          <cell r="C227" t="str">
            <v>FEB-02-97</v>
          </cell>
        </row>
        <row r="230">
          <cell r="C230" t="str">
            <v>INTERESES</v>
          </cell>
          <cell r="D230" t="str">
            <v>T.C.</v>
          </cell>
          <cell r="E230" t="str">
            <v>INTERESES</v>
          </cell>
          <cell r="F230" t="str">
            <v>INTERESES</v>
          </cell>
          <cell r="G230" t="str">
            <v>CAPITAL</v>
          </cell>
          <cell r="H230" t="str">
            <v>T.C.</v>
          </cell>
          <cell r="I230" t="str">
            <v>INTERESES</v>
          </cell>
          <cell r="J230" t="str">
            <v>T.C.</v>
          </cell>
          <cell r="K230" t="str">
            <v>FLUCTUACION</v>
          </cell>
          <cell r="L230" t="str">
            <v>FLUCTUACION</v>
          </cell>
        </row>
        <row r="231">
          <cell r="A231" t="str">
            <v>PERIODO</v>
          </cell>
          <cell r="C231" t="str">
            <v>DOLARES</v>
          </cell>
          <cell r="D231" t="str">
            <v>REGISTRO</v>
          </cell>
          <cell r="E231" t="str">
            <v>PESOS</v>
          </cell>
          <cell r="F231" t="str">
            <v>LIBROS</v>
          </cell>
          <cell r="G231" t="str">
            <v>FLUCTUADO</v>
          </cell>
          <cell r="H231" t="str">
            <v>FIN MES</v>
          </cell>
          <cell r="I231" t="str">
            <v>FLUCTUADOS</v>
          </cell>
          <cell r="J231" t="str">
            <v>PAGO</v>
          </cell>
          <cell r="K231" t="str">
            <v>CAPITAL</v>
          </cell>
          <cell r="L231" t="str">
            <v>INTERESES</v>
          </cell>
        </row>
        <row r="235">
          <cell r="A235" t="str">
            <v>AGOSTO</v>
          </cell>
          <cell r="B235">
            <v>26</v>
          </cell>
          <cell r="C235">
            <v>1958.9041095890411</v>
          </cell>
          <cell r="D235">
            <v>7.5205000000000002</v>
          </cell>
          <cell r="E235">
            <v>14731.938356164384</v>
          </cell>
          <cell r="F235">
            <v>14731.938356164384</v>
          </cell>
          <cell r="G235">
            <v>500000</v>
          </cell>
          <cell r="H235">
            <v>7.5205000000000002</v>
          </cell>
          <cell r="I235">
            <v>0</v>
          </cell>
          <cell r="K235">
            <v>17549.999999999956</v>
          </cell>
          <cell r="L235">
            <v>0</v>
          </cell>
        </row>
        <row r="236">
          <cell r="A236" t="str">
            <v>SEPTIEMBRE</v>
          </cell>
          <cell r="B236">
            <v>30</v>
          </cell>
          <cell r="C236">
            <v>2260.2739726027398</v>
          </cell>
          <cell r="D236">
            <v>7.5373999999999999</v>
          </cell>
          <cell r="E236">
            <v>17036.589041095889</v>
          </cell>
          <cell r="F236">
            <v>31768.527397260274</v>
          </cell>
          <cell r="G236">
            <v>500000</v>
          </cell>
          <cell r="H236">
            <v>7.5373999999999999</v>
          </cell>
          <cell r="I236">
            <v>1958.9041095890411</v>
          </cell>
          <cell r="K236">
            <v>8449.9999999998472</v>
          </cell>
          <cell r="L236">
            <v>33.10547945205419</v>
          </cell>
        </row>
        <row r="237">
          <cell r="A237" t="str">
            <v>OCTUBRE</v>
          </cell>
          <cell r="B237">
            <v>31</v>
          </cell>
          <cell r="C237">
            <v>2335.6164383561645</v>
          </cell>
          <cell r="D237">
            <v>7.9172000000000002</v>
          </cell>
          <cell r="E237">
            <v>18491.542465753428</v>
          </cell>
          <cell r="F237">
            <v>50260.069863013705</v>
          </cell>
          <cell r="G237">
            <v>500000</v>
          </cell>
          <cell r="H237">
            <v>7.9172000000000002</v>
          </cell>
          <cell r="I237">
            <v>4219.178082191781</v>
          </cell>
          <cell r="K237">
            <v>189900.00000000017</v>
          </cell>
          <cell r="L237">
            <v>1602.4438356164399</v>
          </cell>
        </row>
        <row r="238">
          <cell r="A238" t="str">
            <v>NOVIEMBRE</v>
          </cell>
          <cell r="B238">
            <v>30</v>
          </cell>
          <cell r="C238">
            <v>2260.2739726027398</v>
          </cell>
          <cell r="D238">
            <v>7.8857999999999997</v>
          </cell>
          <cell r="E238">
            <v>17824.068493150684</v>
          </cell>
          <cell r="F238">
            <v>68084.138356164389</v>
          </cell>
          <cell r="G238">
            <v>500000</v>
          </cell>
          <cell r="H238">
            <v>7.8857999999999997</v>
          </cell>
          <cell r="I238">
            <v>6554.7945205479455</v>
          </cell>
          <cell r="K238">
            <v>-15700.000000000269</v>
          </cell>
          <cell r="L238">
            <v>-205.82054794520903</v>
          </cell>
        </row>
        <row r="239">
          <cell r="A239" t="str">
            <v>DICIEMBRE</v>
          </cell>
          <cell r="B239">
            <v>31</v>
          </cell>
          <cell r="C239">
            <v>2335.6164383561645</v>
          </cell>
          <cell r="D239">
            <v>7.8509000000000002</v>
          </cell>
          <cell r="E239">
            <v>18336.691095890412</v>
          </cell>
          <cell r="F239">
            <v>86420.829452054808</v>
          </cell>
          <cell r="G239">
            <v>500000</v>
          </cell>
          <cell r="H239">
            <v>7.8509000000000002</v>
          </cell>
          <cell r="I239">
            <v>8815.0684931506858</v>
          </cell>
          <cell r="K239">
            <v>-17449.999999999742</v>
          </cell>
          <cell r="L239">
            <v>-307.64589041095439</v>
          </cell>
        </row>
        <row r="240">
          <cell r="A240" t="str">
            <v>ENERO</v>
          </cell>
          <cell r="B240">
            <v>31</v>
          </cell>
          <cell r="C240">
            <v>2335.6164383561645</v>
          </cell>
          <cell r="D240">
            <v>7.8392999999999997</v>
          </cell>
          <cell r="E240">
            <v>18309.597945205478</v>
          </cell>
          <cell r="F240">
            <v>104730.42739726028</v>
          </cell>
          <cell r="G240">
            <v>500000</v>
          </cell>
          <cell r="H240">
            <v>7.8392999999999997</v>
          </cell>
          <cell r="I240">
            <v>11150.68493150685</v>
          </cell>
          <cell r="K240">
            <v>-5800.0000000002492</v>
          </cell>
          <cell r="L240">
            <v>-129.34794520548502</v>
          </cell>
        </row>
        <row r="241">
          <cell r="A241" t="str">
            <v>FEBRERO</v>
          </cell>
          <cell r="B241">
            <v>4</v>
          </cell>
          <cell r="C241">
            <v>376.72</v>
          </cell>
          <cell r="D241">
            <v>7.7843999999999998</v>
          </cell>
          <cell r="E241">
            <v>2932.5391680000002</v>
          </cell>
          <cell r="F241">
            <v>107662.96656526029</v>
          </cell>
          <cell r="G241">
            <v>500000</v>
          </cell>
          <cell r="H241">
            <v>0</v>
          </cell>
          <cell r="I241">
            <v>13486.301369863015</v>
          </cell>
          <cell r="J241">
            <v>7.8182999999999998</v>
          </cell>
          <cell r="K241">
            <v>-10499.999999999955</v>
          </cell>
          <cell r="L241">
            <v>-283.21232876712207</v>
          </cell>
        </row>
        <row r="242">
          <cell r="I242">
            <v>376.72</v>
          </cell>
          <cell r="J242">
            <v>7.8182999999999998</v>
          </cell>
          <cell r="L242">
            <v>12.770808000000017</v>
          </cell>
        </row>
        <row r="243">
          <cell r="I243">
            <v>13863.021369863014</v>
          </cell>
          <cell r="J243">
            <v>7.74</v>
          </cell>
          <cell r="L243">
            <v>-1085.4745732602682</v>
          </cell>
        </row>
        <row r="246">
          <cell r="C246">
            <v>13863.021369863014</v>
          </cell>
          <cell r="E246">
            <v>107662.96656526029</v>
          </cell>
          <cell r="K246">
            <v>166449.99999999977</v>
          </cell>
          <cell r="L246">
            <v>-363.1811625205446</v>
          </cell>
        </row>
        <row r="247">
          <cell r="A247" t="str">
            <v>MINAS DE BACIS, S.A. DE C.V.</v>
          </cell>
        </row>
        <row r="248">
          <cell r="A248" t="str">
            <v>INVERSIONES EN MONEDA EXTRANJERA</v>
          </cell>
          <cell r="G248" t="str">
            <v/>
          </cell>
          <cell r="H248" t="str">
            <v/>
          </cell>
        </row>
        <row r="249">
          <cell r="A249" t="str">
            <v>CON  : CALIFORNIA COMERCE BANK</v>
          </cell>
        </row>
        <row r="250">
          <cell r="A250" t="str">
            <v>CAPITAL      :</v>
          </cell>
          <cell r="C250">
            <v>500000</v>
          </cell>
        </row>
        <row r="251">
          <cell r="A251" t="str">
            <v>T.C. INICIO  :</v>
          </cell>
          <cell r="C251">
            <v>7.8787000000000003</v>
          </cell>
        </row>
        <row r="252">
          <cell r="A252" t="str">
            <v>TASA NORMAL  :</v>
          </cell>
          <cell r="C252">
            <v>5.2</v>
          </cell>
        </row>
        <row r="253">
          <cell r="A253" t="str">
            <v>TASA MORAT.  :</v>
          </cell>
          <cell r="C253">
            <v>0</v>
          </cell>
        </row>
        <row r="254">
          <cell r="A254" t="str">
            <v>PLAZO DIAS   :</v>
          </cell>
          <cell r="C254">
            <v>183</v>
          </cell>
        </row>
        <row r="255">
          <cell r="A255" t="str">
            <v>FECHA INICIO :</v>
          </cell>
          <cell r="C255" t="str">
            <v>DIC-06-96</v>
          </cell>
        </row>
        <row r="256">
          <cell r="A256" t="str">
            <v>FECHA VENC.  :</v>
          </cell>
          <cell r="C256" t="str">
            <v>JUN-06-97</v>
          </cell>
        </row>
        <row r="259">
          <cell r="C259" t="str">
            <v>INTERESES</v>
          </cell>
          <cell r="D259" t="str">
            <v>T.C.</v>
          </cell>
          <cell r="E259" t="str">
            <v>INTERESES</v>
          </cell>
          <cell r="F259" t="str">
            <v>INTERESES</v>
          </cell>
          <cell r="G259" t="str">
            <v>CAPITAL</v>
          </cell>
          <cell r="H259" t="str">
            <v>T.C.</v>
          </cell>
          <cell r="I259" t="str">
            <v>INTERESES</v>
          </cell>
          <cell r="J259" t="str">
            <v>T.C.</v>
          </cell>
          <cell r="K259" t="str">
            <v>FLUCTUACION</v>
          </cell>
          <cell r="L259" t="str">
            <v>FLUCTUACION</v>
          </cell>
        </row>
        <row r="260">
          <cell r="A260" t="str">
            <v>PERIODO</v>
          </cell>
          <cell r="C260" t="str">
            <v>DOLARES</v>
          </cell>
          <cell r="D260" t="str">
            <v>REGISTRO</v>
          </cell>
          <cell r="E260" t="str">
            <v>PESOS</v>
          </cell>
          <cell r="F260" t="str">
            <v>LIBROS</v>
          </cell>
          <cell r="G260" t="str">
            <v>FLUCTUADO</v>
          </cell>
          <cell r="H260" t="str">
            <v>FIN MES</v>
          </cell>
          <cell r="I260" t="str">
            <v>FLUCTUADOS</v>
          </cell>
          <cell r="J260" t="str">
            <v>PAGO</v>
          </cell>
          <cell r="K260" t="str">
            <v>CAPITAL</v>
          </cell>
          <cell r="L260" t="str">
            <v>INTERESES</v>
          </cell>
        </row>
        <row r="264">
          <cell r="A264" t="str">
            <v>DICIEMBRE</v>
          </cell>
          <cell r="B264">
            <v>26</v>
          </cell>
          <cell r="C264">
            <v>2243.8356164383563</v>
          </cell>
          <cell r="D264">
            <v>7.8509000000000002</v>
          </cell>
          <cell r="E264">
            <v>17616.129041095894</v>
          </cell>
          <cell r="F264">
            <v>17616.129041095894</v>
          </cell>
          <cell r="G264">
            <v>500000</v>
          </cell>
          <cell r="H264">
            <v>7.8509000000000002</v>
          </cell>
          <cell r="I264">
            <v>0</v>
          </cell>
          <cell r="K264">
            <v>-13900.000000000024</v>
          </cell>
          <cell r="L264">
            <v>0</v>
          </cell>
        </row>
        <row r="265">
          <cell r="A265" t="str">
            <v>ENERO</v>
          </cell>
          <cell r="B265">
            <v>31</v>
          </cell>
          <cell r="C265">
            <v>2675.3424657534247</v>
          </cell>
          <cell r="D265">
            <v>7.8392999999999997</v>
          </cell>
          <cell r="E265">
            <v>20972.81219178082</v>
          </cell>
          <cell r="F265">
            <v>38588.941232876714</v>
          </cell>
          <cell r="G265">
            <v>500000</v>
          </cell>
          <cell r="H265">
            <v>7.8392999999999997</v>
          </cell>
          <cell r="I265">
            <v>2243.8356164383563</v>
          </cell>
          <cell r="K265">
            <v>-5800.0000000002492</v>
          </cell>
          <cell r="L265">
            <v>-26.028493150686053</v>
          </cell>
        </row>
        <row r="266">
          <cell r="A266" t="str">
            <v>FEBRERO</v>
          </cell>
          <cell r="C266">
            <v>-858.91000000000076</v>
          </cell>
          <cell r="D266">
            <v>7.8392999999999997</v>
          </cell>
          <cell r="E266">
            <v>-6733.2531630000058</v>
          </cell>
          <cell r="F266">
            <v>31855.688069876709</v>
          </cell>
          <cell r="I266">
            <v>4060.2680821917802</v>
          </cell>
        </row>
        <row r="267">
          <cell r="A267" t="str">
            <v>FEBRERO</v>
          </cell>
          <cell r="B267">
            <v>28</v>
          </cell>
          <cell r="C267">
            <v>1994.5205479452056</v>
          </cell>
          <cell r="D267">
            <v>7.7843999999999998</v>
          </cell>
          <cell r="E267">
            <v>15526.145753424658</v>
          </cell>
          <cell r="F267">
            <v>47381.833823301364</v>
          </cell>
          <cell r="G267">
            <v>500000</v>
          </cell>
          <cell r="H267">
            <v>7.7843999999999998</v>
          </cell>
          <cell r="I267">
            <v>4060.2680821917802</v>
          </cell>
          <cell r="K267">
            <v>-27449.999999999975</v>
          </cell>
          <cell r="L267">
            <v>-222.90871771232852</v>
          </cell>
        </row>
        <row r="268">
          <cell r="A268" t="str">
            <v>MARZO</v>
          </cell>
          <cell r="B268">
            <v>31</v>
          </cell>
          <cell r="C268">
            <v>2208.2191780821922</v>
          </cell>
          <cell r="D268">
            <v>7.8905000000000003</v>
          </cell>
          <cell r="E268">
            <v>17423.953424657539</v>
          </cell>
          <cell r="F268">
            <v>64805.787247958899</v>
          </cell>
          <cell r="G268">
            <v>500000</v>
          </cell>
          <cell r="H268">
            <v>7.8905000000000003</v>
          </cell>
          <cell r="I268">
            <v>6054.7886301369854</v>
          </cell>
          <cell r="K268">
            <v>53050.000000000262</v>
          </cell>
          <cell r="L268">
            <v>642.41307365753732</v>
          </cell>
        </row>
        <row r="269">
          <cell r="A269" t="str">
            <v>ABRIL</v>
          </cell>
          <cell r="B269">
            <v>30</v>
          </cell>
          <cell r="C269">
            <v>2136.9863013698632</v>
          </cell>
          <cell r="D269">
            <v>7.9267000000000003</v>
          </cell>
          <cell r="E269">
            <v>16939.249315068497</v>
          </cell>
          <cell r="F269">
            <v>81745.036563027388</v>
          </cell>
          <cell r="G269">
            <v>500000</v>
          </cell>
          <cell r="H269">
            <v>7.9267000000000003</v>
          </cell>
          <cell r="I269">
            <v>8263.0078082191776</v>
          </cell>
          <cell r="K269">
            <v>18100.000000000004</v>
          </cell>
          <cell r="L269">
            <v>299.12088265753431</v>
          </cell>
        </row>
        <row r="270">
          <cell r="A270" t="str">
            <v>MAYO</v>
          </cell>
          <cell r="B270">
            <v>31</v>
          </cell>
          <cell r="C270">
            <v>2208.2191780821922</v>
          </cell>
          <cell r="D270">
            <v>0</v>
          </cell>
          <cell r="E270">
            <v>0</v>
          </cell>
          <cell r="F270">
            <v>81745.036563027388</v>
          </cell>
          <cell r="G270">
            <v>500000</v>
          </cell>
          <cell r="H270">
            <v>0</v>
          </cell>
          <cell r="I270">
            <v>10399.994109589041</v>
          </cell>
          <cell r="K270">
            <v>0</v>
          </cell>
          <cell r="L270">
            <v>0</v>
          </cell>
        </row>
        <row r="271">
          <cell r="A271" t="str">
            <v>JUNIO</v>
          </cell>
          <cell r="B271">
            <v>6</v>
          </cell>
          <cell r="C271">
            <v>427.39726027397262</v>
          </cell>
          <cell r="D271">
            <v>0</v>
          </cell>
          <cell r="E271">
            <v>0</v>
          </cell>
          <cell r="F271">
            <v>81745.036563027388</v>
          </cell>
          <cell r="G271">
            <v>500000</v>
          </cell>
          <cell r="H271">
            <v>0</v>
          </cell>
          <cell r="I271">
            <v>12608.213287671233</v>
          </cell>
          <cell r="K271">
            <v>0</v>
          </cell>
          <cell r="L271">
            <v>0</v>
          </cell>
        </row>
        <row r="274">
          <cell r="C274">
            <v>13035.610547945205</v>
          </cell>
          <cell r="E274">
            <v>81745.036563027388</v>
          </cell>
          <cell r="K274">
            <v>24000.000000000018</v>
          </cell>
          <cell r="L274">
            <v>692.59674545205712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. 2008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PESOS"/>
      <sheetName val="RESUMEN DLLS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OS 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MPM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TC05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ComConB10"/>
      <sheetName val="BalComSinB10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"/>
      <sheetName val="NOV"/>
      <sheetName val="DIC"/>
      <sheetName val="DIC2"/>
      <sheetName val="NOV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1322551.42</v>
          </cell>
          <cell r="D6">
            <v>29</v>
          </cell>
          <cell r="E6">
            <v>319</v>
          </cell>
          <cell r="F6">
            <v>-290</v>
          </cell>
          <cell r="G6">
            <v>1322261.42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76803.990000000005</v>
          </cell>
          <cell r="D7">
            <v>29</v>
          </cell>
          <cell r="E7">
            <v>319</v>
          </cell>
          <cell r="F7">
            <v>-290</v>
          </cell>
          <cell r="G7">
            <v>76513.990000000005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3340.95</v>
          </cell>
          <cell r="D8">
            <v>0</v>
          </cell>
          <cell r="E8">
            <v>319</v>
          </cell>
          <cell r="F8">
            <v>-319</v>
          </cell>
          <cell r="G8">
            <v>3021.95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3340.95</v>
          </cell>
          <cell r="D9">
            <v>0</v>
          </cell>
          <cell r="E9">
            <v>319</v>
          </cell>
          <cell r="F9">
            <v>-319</v>
          </cell>
          <cell r="G9">
            <v>3021.95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3340.95</v>
          </cell>
          <cell r="D10">
            <v>0</v>
          </cell>
          <cell r="E10">
            <v>319</v>
          </cell>
          <cell r="F10">
            <v>-319</v>
          </cell>
          <cell r="G10">
            <v>3021.95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3340.95</v>
          </cell>
          <cell r="D11">
            <v>0</v>
          </cell>
          <cell r="E11">
            <v>319</v>
          </cell>
          <cell r="F11">
            <v>-319</v>
          </cell>
          <cell r="G11">
            <v>3021.95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3340.95</v>
          </cell>
          <cell r="D12">
            <v>0</v>
          </cell>
          <cell r="E12">
            <v>319</v>
          </cell>
          <cell r="F12">
            <v>-319</v>
          </cell>
          <cell r="G12">
            <v>3021.95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54963.040000000001</v>
          </cell>
          <cell r="D22">
            <v>29</v>
          </cell>
          <cell r="E22">
            <v>0</v>
          </cell>
          <cell r="F22">
            <v>29</v>
          </cell>
          <cell r="G22">
            <v>54992.04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54963.040000000001</v>
          </cell>
          <cell r="D23">
            <v>29</v>
          </cell>
          <cell r="E23">
            <v>0</v>
          </cell>
          <cell r="F23">
            <v>29</v>
          </cell>
          <cell r="G23">
            <v>54992.04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54963.040000000001</v>
          </cell>
          <cell r="D24">
            <v>29</v>
          </cell>
          <cell r="E24">
            <v>0</v>
          </cell>
          <cell r="F24">
            <v>29</v>
          </cell>
          <cell r="G24">
            <v>54992.04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785</v>
          </cell>
          <cell r="D74">
            <v>290</v>
          </cell>
          <cell r="E74">
            <v>0</v>
          </cell>
          <cell r="F74">
            <v>290</v>
          </cell>
          <cell r="G74">
            <v>1075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785</v>
          </cell>
          <cell r="D92">
            <v>290</v>
          </cell>
          <cell r="E92">
            <v>0</v>
          </cell>
          <cell r="F92">
            <v>290</v>
          </cell>
          <cell r="G92">
            <v>1075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785</v>
          </cell>
          <cell r="D94">
            <v>290</v>
          </cell>
          <cell r="E94">
            <v>0</v>
          </cell>
          <cell r="F94">
            <v>290</v>
          </cell>
          <cell r="G94">
            <v>1075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785</v>
          </cell>
          <cell r="D95">
            <v>290</v>
          </cell>
          <cell r="E95">
            <v>0</v>
          </cell>
          <cell r="F95">
            <v>290</v>
          </cell>
          <cell r="G95">
            <v>1075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319</v>
          </cell>
          <cell r="E115">
            <v>319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6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1322261.42</v>
          </cell>
          <cell r="D6">
            <v>29</v>
          </cell>
          <cell r="E6">
            <v>319</v>
          </cell>
          <cell r="F6">
            <v>-290</v>
          </cell>
          <cell r="G6">
            <v>1321971.42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76513.990000000005</v>
          </cell>
          <cell r="D7">
            <v>29</v>
          </cell>
          <cell r="E7">
            <v>319</v>
          </cell>
          <cell r="F7">
            <v>-290</v>
          </cell>
          <cell r="G7">
            <v>76223.990000000005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3021.95</v>
          </cell>
          <cell r="D8">
            <v>0</v>
          </cell>
          <cell r="E8">
            <v>319</v>
          </cell>
          <cell r="F8">
            <v>-319</v>
          </cell>
          <cell r="G8">
            <v>2702.95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3021.95</v>
          </cell>
          <cell r="D9">
            <v>0</v>
          </cell>
          <cell r="E9">
            <v>319</v>
          </cell>
          <cell r="F9">
            <v>-319</v>
          </cell>
          <cell r="G9">
            <v>2702.95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3021.95</v>
          </cell>
          <cell r="D10">
            <v>0</v>
          </cell>
          <cell r="E10">
            <v>319</v>
          </cell>
          <cell r="F10">
            <v>-319</v>
          </cell>
          <cell r="G10">
            <v>2702.95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3021.95</v>
          </cell>
          <cell r="D11">
            <v>0</v>
          </cell>
          <cell r="E11">
            <v>319</v>
          </cell>
          <cell r="F11">
            <v>-319</v>
          </cell>
          <cell r="G11">
            <v>2702.95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3021.95</v>
          </cell>
          <cell r="D12">
            <v>0</v>
          </cell>
          <cell r="E12">
            <v>319</v>
          </cell>
          <cell r="F12">
            <v>-319</v>
          </cell>
          <cell r="G12">
            <v>2702.95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54992.04</v>
          </cell>
          <cell r="D22">
            <v>29</v>
          </cell>
          <cell r="E22">
            <v>0</v>
          </cell>
          <cell r="F22">
            <v>29</v>
          </cell>
          <cell r="G22">
            <v>55021.04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54992.04</v>
          </cell>
          <cell r="D23">
            <v>29</v>
          </cell>
          <cell r="E23">
            <v>0</v>
          </cell>
          <cell r="F23">
            <v>29</v>
          </cell>
          <cell r="G23">
            <v>55021.04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54992.04</v>
          </cell>
          <cell r="D24">
            <v>29</v>
          </cell>
          <cell r="E24">
            <v>0</v>
          </cell>
          <cell r="F24">
            <v>29</v>
          </cell>
          <cell r="G24">
            <v>55021.04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1075</v>
          </cell>
          <cell r="D74">
            <v>290</v>
          </cell>
          <cell r="E74">
            <v>0</v>
          </cell>
          <cell r="F74">
            <v>290</v>
          </cell>
          <cell r="G74">
            <v>1365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1075</v>
          </cell>
          <cell r="D92">
            <v>290</v>
          </cell>
          <cell r="E92">
            <v>0</v>
          </cell>
          <cell r="F92">
            <v>290</v>
          </cell>
          <cell r="G92">
            <v>1365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1075</v>
          </cell>
          <cell r="D94">
            <v>290</v>
          </cell>
          <cell r="E94">
            <v>0</v>
          </cell>
          <cell r="F94">
            <v>290</v>
          </cell>
          <cell r="G94">
            <v>1365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1075</v>
          </cell>
          <cell r="D95">
            <v>290</v>
          </cell>
          <cell r="E95">
            <v>0</v>
          </cell>
          <cell r="F95">
            <v>290</v>
          </cell>
          <cell r="G95">
            <v>1365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7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1321971.42</v>
          </cell>
          <cell r="D6">
            <v>29</v>
          </cell>
          <cell r="E6">
            <v>319</v>
          </cell>
          <cell r="F6">
            <v>-290</v>
          </cell>
          <cell r="G6">
            <v>1321681.42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76223.990000000005</v>
          </cell>
          <cell r="D7">
            <v>29</v>
          </cell>
          <cell r="E7">
            <v>319</v>
          </cell>
          <cell r="F7">
            <v>-290</v>
          </cell>
          <cell r="G7">
            <v>75933.990000000005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2702.95</v>
          </cell>
          <cell r="D8">
            <v>0</v>
          </cell>
          <cell r="E8">
            <v>319</v>
          </cell>
          <cell r="F8">
            <v>-319</v>
          </cell>
          <cell r="G8">
            <v>2383.9499999999998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2702.95</v>
          </cell>
          <cell r="D9">
            <v>0</v>
          </cell>
          <cell r="E9">
            <v>319</v>
          </cell>
          <cell r="F9">
            <v>-319</v>
          </cell>
          <cell r="G9">
            <v>2383.9499999999998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2702.95</v>
          </cell>
          <cell r="D10">
            <v>0</v>
          </cell>
          <cell r="E10">
            <v>319</v>
          </cell>
          <cell r="F10">
            <v>-319</v>
          </cell>
          <cell r="G10">
            <v>2383.9499999999998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2702.95</v>
          </cell>
          <cell r="D11">
            <v>0</v>
          </cell>
          <cell r="E11">
            <v>319</v>
          </cell>
          <cell r="F11">
            <v>-319</v>
          </cell>
          <cell r="G11">
            <v>2383.9499999999998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2702.95</v>
          </cell>
          <cell r="D12">
            <v>0</v>
          </cell>
          <cell r="E12">
            <v>319</v>
          </cell>
          <cell r="F12">
            <v>-319</v>
          </cell>
          <cell r="G12">
            <v>2383.9499999999998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55021.04</v>
          </cell>
          <cell r="D22">
            <v>29</v>
          </cell>
          <cell r="E22">
            <v>0</v>
          </cell>
          <cell r="F22">
            <v>29</v>
          </cell>
          <cell r="G22">
            <v>55050.04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55021.04</v>
          </cell>
          <cell r="D23">
            <v>29</v>
          </cell>
          <cell r="E23">
            <v>0</v>
          </cell>
          <cell r="F23">
            <v>29</v>
          </cell>
          <cell r="G23">
            <v>55050.04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55021.04</v>
          </cell>
          <cell r="D24">
            <v>29</v>
          </cell>
          <cell r="E24">
            <v>0</v>
          </cell>
          <cell r="F24">
            <v>29</v>
          </cell>
          <cell r="G24">
            <v>55050.04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5072</v>
          </cell>
          <cell r="E37">
            <v>5072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5072</v>
          </cell>
          <cell r="E38">
            <v>5072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5072</v>
          </cell>
          <cell r="E39">
            <v>0</v>
          </cell>
          <cell r="F39">
            <v>5072</v>
          </cell>
          <cell r="G39">
            <v>77239.64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5072</v>
          </cell>
          <cell r="E40">
            <v>0</v>
          </cell>
          <cell r="F40">
            <v>5072</v>
          </cell>
          <cell r="G40">
            <v>77239.64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5072</v>
          </cell>
          <cell r="E41">
            <v>0</v>
          </cell>
          <cell r="F41">
            <v>5072</v>
          </cell>
          <cell r="G41">
            <v>77239.64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5072</v>
          </cell>
          <cell r="E42">
            <v>0</v>
          </cell>
          <cell r="F42">
            <v>5072</v>
          </cell>
          <cell r="G42">
            <v>30281.040000000001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5072</v>
          </cell>
          <cell r="F49">
            <v>-5072</v>
          </cell>
          <cell r="G49">
            <v>271509.33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5072</v>
          </cell>
          <cell r="F51">
            <v>-5072</v>
          </cell>
          <cell r="G51">
            <v>271509.33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1365</v>
          </cell>
          <cell r="D74">
            <v>290</v>
          </cell>
          <cell r="E74">
            <v>0</v>
          </cell>
          <cell r="F74">
            <v>290</v>
          </cell>
          <cell r="G74">
            <v>1655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1365</v>
          </cell>
          <cell r="D92">
            <v>290</v>
          </cell>
          <cell r="E92">
            <v>0</v>
          </cell>
          <cell r="F92">
            <v>290</v>
          </cell>
          <cell r="G92">
            <v>1655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1365</v>
          </cell>
          <cell r="D94">
            <v>290</v>
          </cell>
          <cell r="E94">
            <v>0</v>
          </cell>
          <cell r="F94">
            <v>290</v>
          </cell>
          <cell r="G94">
            <v>1655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1365</v>
          </cell>
          <cell r="D95">
            <v>290</v>
          </cell>
          <cell r="E95">
            <v>0</v>
          </cell>
          <cell r="F95">
            <v>290</v>
          </cell>
          <cell r="G95">
            <v>1655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5391</v>
          </cell>
          <cell r="E115">
            <v>5391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8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1321681.42</v>
          </cell>
          <cell r="D6">
            <v>681.17</v>
          </cell>
          <cell r="E6">
            <v>15319</v>
          </cell>
          <cell r="F6">
            <v>-14637.83</v>
          </cell>
          <cell r="G6">
            <v>1307043.5900000001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75933.990000000005</v>
          </cell>
          <cell r="D7">
            <v>681.17</v>
          </cell>
          <cell r="E7">
            <v>15319</v>
          </cell>
          <cell r="F7">
            <v>-14637.83</v>
          </cell>
          <cell r="G7">
            <v>61296.160000000003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2383.9499999999998</v>
          </cell>
          <cell r="D8">
            <v>0</v>
          </cell>
          <cell r="E8">
            <v>319</v>
          </cell>
          <cell r="F8">
            <v>-319</v>
          </cell>
          <cell r="G8">
            <v>2064.9499999999998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2383.9499999999998</v>
          </cell>
          <cell r="D9">
            <v>0</v>
          </cell>
          <cell r="E9">
            <v>319</v>
          </cell>
          <cell r="F9">
            <v>-319</v>
          </cell>
          <cell r="G9">
            <v>2064.9499999999998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2383.9499999999998</v>
          </cell>
          <cell r="D10">
            <v>0</v>
          </cell>
          <cell r="E10">
            <v>319</v>
          </cell>
          <cell r="F10">
            <v>-319</v>
          </cell>
          <cell r="G10">
            <v>2064.9499999999998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2383.9499999999998</v>
          </cell>
          <cell r="D11">
            <v>0</v>
          </cell>
          <cell r="E11">
            <v>319</v>
          </cell>
          <cell r="F11">
            <v>-319</v>
          </cell>
          <cell r="G11">
            <v>2064.9499999999998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2383.9499999999998</v>
          </cell>
          <cell r="D12">
            <v>0</v>
          </cell>
          <cell r="E12">
            <v>319</v>
          </cell>
          <cell r="F12">
            <v>-319</v>
          </cell>
          <cell r="G12">
            <v>2064.9499999999998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15000</v>
          </cell>
          <cell r="F13">
            <v>-15000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15000</v>
          </cell>
          <cell r="F14">
            <v>-15000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15000</v>
          </cell>
          <cell r="F17">
            <v>-15000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15000</v>
          </cell>
          <cell r="F18">
            <v>-15000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55050.04</v>
          </cell>
          <cell r="D22">
            <v>681.17</v>
          </cell>
          <cell r="E22">
            <v>0</v>
          </cell>
          <cell r="F22">
            <v>681.17</v>
          </cell>
          <cell r="G22">
            <v>55731.21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55050.04</v>
          </cell>
          <cell r="D23">
            <v>681.17</v>
          </cell>
          <cell r="E23">
            <v>0</v>
          </cell>
          <cell r="F23">
            <v>681.17</v>
          </cell>
          <cell r="G23">
            <v>55731.21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55050.04</v>
          </cell>
          <cell r="D24">
            <v>681.17</v>
          </cell>
          <cell r="E24">
            <v>0</v>
          </cell>
          <cell r="F24">
            <v>681.17</v>
          </cell>
          <cell r="G24">
            <v>55731.21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77239.64</v>
          </cell>
          <cell r="D39">
            <v>1014</v>
          </cell>
          <cell r="E39">
            <v>0</v>
          </cell>
          <cell r="F39">
            <v>1014</v>
          </cell>
          <cell r="G39">
            <v>76225.64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77239.64</v>
          </cell>
          <cell r="D40">
            <v>1014</v>
          </cell>
          <cell r="E40">
            <v>0</v>
          </cell>
          <cell r="F40">
            <v>1014</v>
          </cell>
          <cell r="G40">
            <v>76225.64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77239.64</v>
          </cell>
          <cell r="D41">
            <v>1014</v>
          </cell>
          <cell r="E41">
            <v>0</v>
          </cell>
          <cell r="F41">
            <v>1014</v>
          </cell>
          <cell r="G41">
            <v>76225.64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30281.040000000001</v>
          </cell>
          <cell r="D42">
            <v>1014</v>
          </cell>
          <cell r="E42">
            <v>0</v>
          </cell>
          <cell r="F42">
            <v>1014</v>
          </cell>
          <cell r="G42">
            <v>29267.040000000001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271509.33</v>
          </cell>
          <cell r="D49">
            <v>0</v>
          </cell>
          <cell r="E49">
            <v>1014</v>
          </cell>
          <cell r="F49">
            <v>-1014</v>
          </cell>
          <cell r="G49">
            <v>272523.33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271509.33</v>
          </cell>
          <cell r="D51">
            <v>0</v>
          </cell>
          <cell r="E51">
            <v>1014</v>
          </cell>
          <cell r="F51">
            <v>-1014</v>
          </cell>
          <cell r="G51">
            <v>272523.33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1655</v>
          </cell>
          <cell r="D74">
            <v>14700.84</v>
          </cell>
          <cell r="E74">
            <v>63.01</v>
          </cell>
          <cell r="F74">
            <v>14637.83</v>
          </cell>
          <cell r="G74">
            <v>16292.83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14410.84</v>
          </cell>
          <cell r="E75">
            <v>0</v>
          </cell>
          <cell r="F75">
            <v>14410.84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14410.84</v>
          </cell>
          <cell r="E76">
            <v>0</v>
          </cell>
          <cell r="F76">
            <v>14410.84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6521.53</v>
          </cell>
          <cell r="E78">
            <v>0</v>
          </cell>
          <cell r="F78">
            <v>6521.53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467</v>
          </cell>
          <cell r="E81">
            <v>0</v>
          </cell>
          <cell r="F81">
            <v>467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7422.31</v>
          </cell>
          <cell r="E83">
            <v>0</v>
          </cell>
          <cell r="F83">
            <v>7422.31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63.01</v>
          </cell>
          <cell r="F85">
            <v>-63.01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63.01</v>
          </cell>
          <cell r="F86">
            <v>-63.01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63.01</v>
          </cell>
          <cell r="F89">
            <v>-63.01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63.01</v>
          </cell>
          <cell r="F90">
            <v>-63.01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1655</v>
          </cell>
          <cell r="D92">
            <v>290</v>
          </cell>
          <cell r="E92">
            <v>0</v>
          </cell>
          <cell r="F92">
            <v>290</v>
          </cell>
          <cell r="G92">
            <v>1945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1655</v>
          </cell>
          <cell r="D94">
            <v>290</v>
          </cell>
          <cell r="E94">
            <v>0</v>
          </cell>
          <cell r="F94">
            <v>290</v>
          </cell>
          <cell r="G94">
            <v>1945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1655</v>
          </cell>
          <cell r="D95">
            <v>290</v>
          </cell>
          <cell r="E95">
            <v>0</v>
          </cell>
          <cell r="F95">
            <v>290</v>
          </cell>
          <cell r="G95">
            <v>1945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9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1307043.5900000001</v>
          </cell>
          <cell r="D6">
            <v>29</v>
          </cell>
          <cell r="E6">
            <v>319</v>
          </cell>
          <cell r="F6">
            <v>-290</v>
          </cell>
          <cell r="G6">
            <v>1306753.5900000001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61296.160000000003</v>
          </cell>
          <cell r="D7">
            <v>29</v>
          </cell>
          <cell r="E7">
            <v>319</v>
          </cell>
          <cell r="F7">
            <v>-290</v>
          </cell>
          <cell r="G7">
            <v>61006.16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2064.9499999999998</v>
          </cell>
          <cell r="D8">
            <v>0</v>
          </cell>
          <cell r="E8">
            <v>319</v>
          </cell>
          <cell r="F8">
            <v>-319</v>
          </cell>
          <cell r="G8">
            <v>1745.95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2064.9499999999998</v>
          </cell>
          <cell r="D9">
            <v>0</v>
          </cell>
          <cell r="E9">
            <v>319</v>
          </cell>
          <cell r="F9">
            <v>-319</v>
          </cell>
          <cell r="G9">
            <v>1745.95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2064.9499999999998</v>
          </cell>
          <cell r="D10">
            <v>0</v>
          </cell>
          <cell r="E10">
            <v>319</v>
          </cell>
          <cell r="F10">
            <v>-319</v>
          </cell>
          <cell r="G10">
            <v>1745.95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2064.9499999999998</v>
          </cell>
          <cell r="D11">
            <v>0</v>
          </cell>
          <cell r="E11">
            <v>319</v>
          </cell>
          <cell r="F11">
            <v>-319</v>
          </cell>
          <cell r="G11">
            <v>1745.95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2064.9499999999998</v>
          </cell>
          <cell r="D12">
            <v>0</v>
          </cell>
          <cell r="E12">
            <v>319</v>
          </cell>
          <cell r="F12">
            <v>-319</v>
          </cell>
          <cell r="G12">
            <v>1745.95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55731.21</v>
          </cell>
          <cell r="D22">
            <v>29</v>
          </cell>
          <cell r="E22">
            <v>0</v>
          </cell>
          <cell r="F22">
            <v>29</v>
          </cell>
          <cell r="G22">
            <v>55760.21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55731.21</v>
          </cell>
          <cell r="D23">
            <v>29</v>
          </cell>
          <cell r="E23">
            <v>0</v>
          </cell>
          <cell r="F23">
            <v>29</v>
          </cell>
          <cell r="G23">
            <v>55760.21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55731.21</v>
          </cell>
          <cell r="D24">
            <v>29</v>
          </cell>
          <cell r="E24">
            <v>0</v>
          </cell>
          <cell r="F24">
            <v>29</v>
          </cell>
          <cell r="G24">
            <v>55760.21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76225.64</v>
          </cell>
          <cell r="D39">
            <v>1014</v>
          </cell>
          <cell r="E39">
            <v>0</v>
          </cell>
          <cell r="F39">
            <v>1014</v>
          </cell>
          <cell r="G39">
            <v>75211.64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76225.64</v>
          </cell>
          <cell r="D40">
            <v>1014</v>
          </cell>
          <cell r="E40">
            <v>0</v>
          </cell>
          <cell r="F40">
            <v>1014</v>
          </cell>
          <cell r="G40">
            <v>75211.64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76225.64</v>
          </cell>
          <cell r="D41">
            <v>1014</v>
          </cell>
          <cell r="E41">
            <v>0</v>
          </cell>
          <cell r="F41">
            <v>1014</v>
          </cell>
          <cell r="G41">
            <v>75211.64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29267.040000000001</v>
          </cell>
          <cell r="D42">
            <v>1014</v>
          </cell>
          <cell r="E42">
            <v>0</v>
          </cell>
          <cell r="F42">
            <v>1014</v>
          </cell>
          <cell r="G42">
            <v>28253.040000000001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272523.33</v>
          </cell>
          <cell r="D49">
            <v>0</v>
          </cell>
          <cell r="E49">
            <v>1014</v>
          </cell>
          <cell r="F49">
            <v>-1014</v>
          </cell>
          <cell r="G49">
            <v>273537.33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272523.33</v>
          </cell>
          <cell r="D51">
            <v>0</v>
          </cell>
          <cell r="E51">
            <v>1014</v>
          </cell>
          <cell r="F51">
            <v>-1014</v>
          </cell>
          <cell r="G51">
            <v>273537.33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16292.83</v>
          </cell>
          <cell r="D74">
            <v>290</v>
          </cell>
          <cell r="E74">
            <v>0</v>
          </cell>
          <cell r="F74">
            <v>290</v>
          </cell>
          <cell r="G74">
            <v>16582.830000000002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0</v>
          </cell>
          <cell r="E75">
            <v>0</v>
          </cell>
          <cell r="F75">
            <v>0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0</v>
          </cell>
          <cell r="E76">
            <v>0</v>
          </cell>
          <cell r="F76">
            <v>0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1945</v>
          </cell>
          <cell r="D92">
            <v>290</v>
          </cell>
          <cell r="E92">
            <v>0</v>
          </cell>
          <cell r="F92">
            <v>290</v>
          </cell>
          <cell r="G92">
            <v>2235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1945</v>
          </cell>
          <cell r="D94">
            <v>290</v>
          </cell>
          <cell r="E94">
            <v>0</v>
          </cell>
          <cell r="F94">
            <v>290</v>
          </cell>
          <cell r="G94">
            <v>2235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1945</v>
          </cell>
          <cell r="D95">
            <v>290</v>
          </cell>
          <cell r="E95">
            <v>0</v>
          </cell>
          <cell r="F95">
            <v>290</v>
          </cell>
          <cell r="G95">
            <v>2235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1333</v>
          </cell>
          <cell r="E115">
            <v>1333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10" refreshError="1"/>
      <sheetData sheetId="11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1306663.5900000001</v>
          </cell>
          <cell r="D6">
            <v>5138</v>
          </cell>
          <cell r="E6">
            <v>99</v>
          </cell>
          <cell r="F6">
            <v>5039</v>
          </cell>
          <cell r="G6">
            <v>1311702.5900000001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60916.160000000003</v>
          </cell>
          <cell r="D7">
            <v>5138</v>
          </cell>
          <cell r="E7">
            <v>99</v>
          </cell>
          <cell r="F7">
            <v>5039</v>
          </cell>
          <cell r="G7">
            <v>65955.16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1646.95</v>
          </cell>
          <cell r="D8">
            <v>0</v>
          </cell>
          <cell r="E8">
            <v>99</v>
          </cell>
          <cell r="F8">
            <v>-99</v>
          </cell>
          <cell r="G8">
            <v>1547.95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1646.95</v>
          </cell>
          <cell r="D9">
            <v>0</v>
          </cell>
          <cell r="E9">
            <v>99</v>
          </cell>
          <cell r="F9">
            <v>-99</v>
          </cell>
          <cell r="G9">
            <v>1547.95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1646.95</v>
          </cell>
          <cell r="D10">
            <v>0</v>
          </cell>
          <cell r="E10">
            <v>99</v>
          </cell>
          <cell r="F10">
            <v>-99</v>
          </cell>
          <cell r="G10">
            <v>1547.95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1646.95</v>
          </cell>
          <cell r="D11">
            <v>0</v>
          </cell>
          <cell r="E11">
            <v>99</v>
          </cell>
          <cell r="F11">
            <v>-99</v>
          </cell>
          <cell r="G11">
            <v>1547.95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1646.95</v>
          </cell>
          <cell r="D12">
            <v>0</v>
          </cell>
          <cell r="E12">
            <v>99</v>
          </cell>
          <cell r="F12">
            <v>-99</v>
          </cell>
          <cell r="G12">
            <v>1547.95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55769.21</v>
          </cell>
          <cell r="D22">
            <v>5138</v>
          </cell>
          <cell r="E22">
            <v>0</v>
          </cell>
          <cell r="F22">
            <v>5138</v>
          </cell>
          <cell r="G22">
            <v>60907.21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55769.21</v>
          </cell>
          <cell r="D23">
            <v>5138</v>
          </cell>
          <cell r="E23">
            <v>0</v>
          </cell>
          <cell r="F23">
            <v>5138</v>
          </cell>
          <cell r="G23">
            <v>60907.21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55769.21</v>
          </cell>
          <cell r="D24">
            <v>9</v>
          </cell>
          <cell r="E24">
            <v>0</v>
          </cell>
          <cell r="F24">
            <v>9</v>
          </cell>
          <cell r="G24">
            <v>55778.21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5129</v>
          </cell>
          <cell r="E27">
            <v>0</v>
          </cell>
          <cell r="F27">
            <v>5129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5129</v>
          </cell>
          <cell r="E28">
            <v>0</v>
          </cell>
          <cell r="F28">
            <v>5129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39319</v>
          </cell>
          <cell r="F37">
            <v>-39319</v>
          </cell>
          <cell r="G37">
            <v>388067.97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39319</v>
          </cell>
          <cell r="F38">
            <v>-39319</v>
          </cell>
          <cell r="G38">
            <v>388067.97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0</v>
          </cell>
          <cell r="E39">
            <v>0</v>
          </cell>
          <cell r="F39">
            <v>0</v>
          </cell>
          <cell r="G39">
            <v>74197.64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0</v>
          </cell>
          <cell r="E40">
            <v>0</v>
          </cell>
          <cell r="F40">
            <v>0</v>
          </cell>
          <cell r="G40">
            <v>74197.64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0</v>
          </cell>
          <cell r="E41">
            <v>0</v>
          </cell>
          <cell r="F41">
            <v>0</v>
          </cell>
          <cell r="G41">
            <v>74197.64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274551.33</v>
          </cell>
          <cell r="D49">
            <v>0</v>
          </cell>
          <cell r="E49">
            <v>39319</v>
          </cell>
          <cell r="F49">
            <v>-39319</v>
          </cell>
          <cell r="G49">
            <v>313870.33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274551.33</v>
          </cell>
          <cell r="D51">
            <v>0</v>
          </cell>
          <cell r="E51">
            <v>39319</v>
          </cell>
          <cell r="F51">
            <v>-39319</v>
          </cell>
          <cell r="G51">
            <v>313870.33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16672.830000000002</v>
          </cell>
          <cell r="D74">
            <v>34280</v>
          </cell>
          <cell r="E74">
            <v>0</v>
          </cell>
          <cell r="F74">
            <v>34280</v>
          </cell>
          <cell r="G74">
            <v>50952.83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34190</v>
          </cell>
          <cell r="E75">
            <v>0</v>
          </cell>
          <cell r="F75">
            <v>34190</v>
          </cell>
          <cell r="G75">
            <v>48600.84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34190</v>
          </cell>
          <cell r="E76">
            <v>0</v>
          </cell>
          <cell r="F76">
            <v>34190</v>
          </cell>
          <cell r="G76">
            <v>48600.84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34190</v>
          </cell>
          <cell r="E80">
            <v>0</v>
          </cell>
          <cell r="F80">
            <v>34190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2325</v>
          </cell>
          <cell r="D92">
            <v>90</v>
          </cell>
          <cell r="E92">
            <v>0</v>
          </cell>
          <cell r="F92">
            <v>90</v>
          </cell>
          <cell r="G92">
            <v>2415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2325</v>
          </cell>
          <cell r="D94">
            <v>90</v>
          </cell>
          <cell r="E94">
            <v>0</v>
          </cell>
          <cell r="F94">
            <v>90</v>
          </cell>
          <cell r="G94">
            <v>2415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2325</v>
          </cell>
          <cell r="D95">
            <v>90</v>
          </cell>
          <cell r="E95">
            <v>0</v>
          </cell>
          <cell r="F95">
            <v>90</v>
          </cell>
          <cell r="G95">
            <v>2415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39418</v>
          </cell>
          <cell r="E115">
            <v>39418</v>
          </cell>
          <cell r="F115">
            <v>0</v>
          </cell>
          <cell r="G115">
            <v>1362655.42</v>
          </cell>
        </row>
        <row r="116">
          <cell r="C116">
            <v>1323336.42</v>
          </cell>
          <cell r="G116">
            <v>1362655.42</v>
          </cell>
        </row>
      </sheetData>
      <sheetData sheetId="12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1311702.5900000001</v>
          </cell>
          <cell r="D6">
            <v>109</v>
          </cell>
          <cell r="E6">
            <v>149</v>
          </cell>
          <cell r="F6">
            <v>-40</v>
          </cell>
          <cell r="G6">
            <v>1311662.5900000001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65955.16</v>
          </cell>
          <cell r="D7">
            <v>109</v>
          </cell>
          <cell r="E7">
            <v>149</v>
          </cell>
          <cell r="F7">
            <v>-40</v>
          </cell>
          <cell r="G7">
            <v>65915.16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1547.95</v>
          </cell>
          <cell r="D8">
            <v>0</v>
          </cell>
          <cell r="E8">
            <v>99</v>
          </cell>
          <cell r="F8">
            <v>-99</v>
          </cell>
          <cell r="G8">
            <v>1448.95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1547.95</v>
          </cell>
          <cell r="D9">
            <v>0</v>
          </cell>
          <cell r="E9">
            <v>99</v>
          </cell>
          <cell r="F9">
            <v>-99</v>
          </cell>
          <cell r="G9">
            <v>1448.95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1547.95</v>
          </cell>
          <cell r="D10">
            <v>0</v>
          </cell>
          <cell r="E10">
            <v>99</v>
          </cell>
          <cell r="F10">
            <v>-99</v>
          </cell>
          <cell r="G10">
            <v>1448.95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1547.95</v>
          </cell>
          <cell r="D11">
            <v>0</v>
          </cell>
          <cell r="E11">
            <v>99</v>
          </cell>
          <cell r="F11">
            <v>-99</v>
          </cell>
          <cell r="G11">
            <v>1448.95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1547.95</v>
          </cell>
          <cell r="D12">
            <v>0</v>
          </cell>
          <cell r="E12">
            <v>99</v>
          </cell>
          <cell r="F12">
            <v>-99</v>
          </cell>
          <cell r="G12">
            <v>1448.95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60907.21</v>
          </cell>
          <cell r="D22">
            <v>109</v>
          </cell>
          <cell r="E22">
            <v>50</v>
          </cell>
          <cell r="F22">
            <v>59</v>
          </cell>
          <cell r="G22">
            <v>60966.21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60907.21</v>
          </cell>
          <cell r="D23">
            <v>109</v>
          </cell>
          <cell r="E23">
            <v>50</v>
          </cell>
          <cell r="F23">
            <v>59</v>
          </cell>
          <cell r="G23">
            <v>60966.21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55778.21</v>
          </cell>
          <cell r="D24">
            <v>59</v>
          </cell>
          <cell r="E24">
            <v>0</v>
          </cell>
          <cell r="F24">
            <v>59</v>
          </cell>
          <cell r="G24">
            <v>55837.21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50</v>
          </cell>
          <cell r="E27">
            <v>50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50</v>
          </cell>
          <cell r="E28">
            <v>50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388067.97</v>
          </cell>
          <cell r="D37">
            <v>42713.599999999999</v>
          </cell>
          <cell r="E37">
            <v>43264</v>
          </cell>
          <cell r="F37">
            <v>-550.40000000000146</v>
          </cell>
          <cell r="G37">
            <v>388618.37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388067.97</v>
          </cell>
          <cell r="D38">
            <v>42713.599999999999</v>
          </cell>
          <cell r="E38">
            <v>43264</v>
          </cell>
          <cell r="F38">
            <v>-550.40000000000146</v>
          </cell>
          <cell r="G38">
            <v>388618.37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42713.599999999999</v>
          </cell>
          <cell r="E39">
            <v>550</v>
          </cell>
          <cell r="F39">
            <v>42163.6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42713.599999999999</v>
          </cell>
          <cell r="E40">
            <v>550</v>
          </cell>
          <cell r="F40">
            <v>42163.6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42713.599999999999</v>
          </cell>
          <cell r="E41">
            <v>550</v>
          </cell>
          <cell r="F41">
            <v>42163.6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42163.6</v>
          </cell>
          <cell r="E43">
            <v>0</v>
          </cell>
          <cell r="F43">
            <v>42163.6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550</v>
          </cell>
          <cell r="E46">
            <v>550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313870.33</v>
          </cell>
          <cell r="D49">
            <v>0</v>
          </cell>
          <cell r="E49">
            <v>42714</v>
          </cell>
          <cell r="F49">
            <v>-42714</v>
          </cell>
          <cell r="G49">
            <v>356584.33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313870.33</v>
          </cell>
          <cell r="D51">
            <v>0</v>
          </cell>
          <cell r="E51">
            <v>42714</v>
          </cell>
          <cell r="F51">
            <v>-42714</v>
          </cell>
          <cell r="G51">
            <v>356584.33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50952.83</v>
          </cell>
          <cell r="D74">
            <v>590.4</v>
          </cell>
          <cell r="E74">
            <v>0</v>
          </cell>
          <cell r="F74">
            <v>590.4</v>
          </cell>
          <cell r="G74">
            <v>51543.23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48600.84</v>
          </cell>
          <cell r="D75">
            <v>500</v>
          </cell>
          <cell r="E75">
            <v>0</v>
          </cell>
          <cell r="F75">
            <v>500</v>
          </cell>
          <cell r="G75">
            <v>49100.84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48600.84</v>
          </cell>
          <cell r="D76">
            <v>500</v>
          </cell>
          <cell r="E76">
            <v>0</v>
          </cell>
          <cell r="F76">
            <v>500</v>
          </cell>
          <cell r="G76">
            <v>49100.84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500</v>
          </cell>
          <cell r="E77">
            <v>0</v>
          </cell>
          <cell r="F77">
            <v>500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0.4</v>
          </cell>
          <cell r="E85">
            <v>0</v>
          </cell>
          <cell r="F85">
            <v>0.4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0.4</v>
          </cell>
          <cell r="E86">
            <v>0</v>
          </cell>
          <cell r="F86">
            <v>0.4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0.4</v>
          </cell>
          <cell r="E87">
            <v>0</v>
          </cell>
          <cell r="F87">
            <v>0.4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0.4</v>
          </cell>
          <cell r="E88">
            <v>0</v>
          </cell>
          <cell r="F88">
            <v>0.4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2415</v>
          </cell>
          <cell r="D92">
            <v>90</v>
          </cell>
          <cell r="E92">
            <v>0</v>
          </cell>
          <cell r="F92">
            <v>90</v>
          </cell>
          <cell r="G92">
            <v>2505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2415</v>
          </cell>
          <cell r="D94">
            <v>90</v>
          </cell>
          <cell r="E94">
            <v>0</v>
          </cell>
          <cell r="F94">
            <v>90</v>
          </cell>
          <cell r="G94">
            <v>2505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2415</v>
          </cell>
          <cell r="D95">
            <v>90</v>
          </cell>
          <cell r="E95">
            <v>0</v>
          </cell>
          <cell r="F95">
            <v>90</v>
          </cell>
          <cell r="G95">
            <v>2505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1362655.42</v>
          </cell>
          <cell r="D115">
            <v>43413</v>
          </cell>
          <cell r="E115">
            <v>43413</v>
          </cell>
          <cell r="F115">
            <v>0</v>
          </cell>
          <cell r="G115">
            <v>1363205.82</v>
          </cell>
        </row>
        <row r="116">
          <cell r="C116">
            <v>1362655.42</v>
          </cell>
          <cell r="G116">
            <v>1363205.82</v>
          </cell>
        </row>
      </sheetData>
      <sheetData sheetId="13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1311662.5900000001</v>
          </cell>
          <cell r="D6">
            <v>6849</v>
          </cell>
          <cell r="E6">
            <v>7019</v>
          </cell>
          <cell r="F6">
            <v>-170</v>
          </cell>
          <cell r="G6">
            <v>1311492.5900000001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65915.16</v>
          </cell>
          <cell r="D7">
            <v>6849</v>
          </cell>
          <cell r="E7">
            <v>7019</v>
          </cell>
          <cell r="F7">
            <v>-170</v>
          </cell>
          <cell r="G7">
            <v>65745.16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1448.95</v>
          </cell>
          <cell r="D8">
            <v>0</v>
          </cell>
          <cell r="E8">
            <v>99</v>
          </cell>
          <cell r="F8">
            <v>-99</v>
          </cell>
          <cell r="G8">
            <v>1349.95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1448.95</v>
          </cell>
          <cell r="D9">
            <v>0</v>
          </cell>
          <cell r="E9">
            <v>99</v>
          </cell>
          <cell r="F9">
            <v>-99</v>
          </cell>
          <cell r="G9">
            <v>1349.95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1448.95</v>
          </cell>
          <cell r="D10">
            <v>0</v>
          </cell>
          <cell r="E10">
            <v>99</v>
          </cell>
          <cell r="F10">
            <v>-99</v>
          </cell>
          <cell r="G10">
            <v>1349.95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1448.95</v>
          </cell>
          <cell r="D11">
            <v>0</v>
          </cell>
          <cell r="E11">
            <v>99</v>
          </cell>
          <cell r="F11">
            <v>-99</v>
          </cell>
          <cell r="G11">
            <v>1349.95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1448.95</v>
          </cell>
          <cell r="D12">
            <v>0</v>
          </cell>
          <cell r="E12">
            <v>99</v>
          </cell>
          <cell r="F12">
            <v>-99</v>
          </cell>
          <cell r="G12">
            <v>1349.95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3500</v>
          </cell>
          <cell r="F13">
            <v>-3500</v>
          </cell>
          <cell r="G13">
            <v>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3500</v>
          </cell>
          <cell r="F14">
            <v>-3500</v>
          </cell>
          <cell r="G14">
            <v>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3500</v>
          </cell>
          <cell r="F15">
            <v>-3500</v>
          </cell>
          <cell r="G15">
            <v>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3500</v>
          </cell>
          <cell r="F16">
            <v>-3500</v>
          </cell>
          <cell r="G16">
            <v>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60966.21</v>
          </cell>
          <cell r="D22">
            <v>6849</v>
          </cell>
          <cell r="E22">
            <v>3420</v>
          </cell>
          <cell r="F22">
            <v>3429</v>
          </cell>
          <cell r="G22">
            <v>64395.21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60966.21</v>
          </cell>
          <cell r="D23">
            <v>6849</v>
          </cell>
          <cell r="E23">
            <v>3420</v>
          </cell>
          <cell r="F23">
            <v>3429</v>
          </cell>
          <cell r="G23">
            <v>64395.21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55837.21</v>
          </cell>
          <cell r="D24">
            <v>3429</v>
          </cell>
          <cell r="E24">
            <v>0</v>
          </cell>
          <cell r="F24">
            <v>3429</v>
          </cell>
          <cell r="G24">
            <v>59266.21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3420</v>
          </cell>
          <cell r="E27">
            <v>3420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3420</v>
          </cell>
          <cell r="E28">
            <v>3420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388618.37</v>
          </cell>
          <cell r="D37">
            <v>37620</v>
          </cell>
          <cell r="E37">
            <v>75240</v>
          </cell>
          <cell r="F37">
            <v>-37620</v>
          </cell>
          <cell r="G37">
            <v>426238.37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388618.37</v>
          </cell>
          <cell r="D38">
            <v>37620</v>
          </cell>
          <cell r="E38">
            <v>75240</v>
          </cell>
          <cell r="F38">
            <v>-37620</v>
          </cell>
          <cell r="G38">
            <v>426238.37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32034.04</v>
          </cell>
          <cell r="D39">
            <v>0</v>
          </cell>
          <cell r="E39">
            <v>0</v>
          </cell>
          <cell r="F39">
            <v>0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32034.04</v>
          </cell>
          <cell r="D40">
            <v>0</v>
          </cell>
          <cell r="E40">
            <v>0</v>
          </cell>
          <cell r="F40">
            <v>0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32034.04</v>
          </cell>
          <cell r="D41">
            <v>0</v>
          </cell>
          <cell r="E41">
            <v>0</v>
          </cell>
          <cell r="F41">
            <v>0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4795</v>
          </cell>
          <cell r="D43">
            <v>0</v>
          </cell>
          <cell r="E43">
            <v>0</v>
          </cell>
          <cell r="F43">
            <v>0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356584.33</v>
          </cell>
          <cell r="D49">
            <v>37620</v>
          </cell>
          <cell r="E49">
            <v>75240</v>
          </cell>
          <cell r="F49">
            <v>-37620</v>
          </cell>
          <cell r="G49">
            <v>394204.33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37620</v>
          </cell>
          <cell r="E50">
            <v>37620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356584.33</v>
          </cell>
          <cell r="D51">
            <v>0</v>
          </cell>
          <cell r="E51">
            <v>37620</v>
          </cell>
          <cell r="F51">
            <v>-37620</v>
          </cell>
          <cell r="G51">
            <v>394204.33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51543.23</v>
          </cell>
          <cell r="D74">
            <v>37790</v>
          </cell>
          <cell r="E74">
            <v>0</v>
          </cell>
          <cell r="F74">
            <v>37790</v>
          </cell>
          <cell r="G74">
            <v>89333.23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49100.84</v>
          </cell>
          <cell r="D75">
            <v>37700</v>
          </cell>
          <cell r="E75">
            <v>0</v>
          </cell>
          <cell r="F75">
            <v>37700</v>
          </cell>
          <cell r="G75">
            <v>86800.84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49100.84</v>
          </cell>
          <cell r="D76">
            <v>37700</v>
          </cell>
          <cell r="E76">
            <v>0</v>
          </cell>
          <cell r="F76">
            <v>37700</v>
          </cell>
          <cell r="G76">
            <v>86800.84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500</v>
          </cell>
          <cell r="D77">
            <v>0</v>
          </cell>
          <cell r="E77">
            <v>0</v>
          </cell>
          <cell r="F77">
            <v>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3500</v>
          </cell>
          <cell r="E81">
            <v>0</v>
          </cell>
          <cell r="F81">
            <v>3500</v>
          </cell>
          <cell r="G81">
            <v>3967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34200</v>
          </cell>
          <cell r="E82">
            <v>0</v>
          </cell>
          <cell r="F82">
            <v>34200</v>
          </cell>
          <cell r="G82">
            <v>34200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-62.61</v>
          </cell>
          <cell r="D85">
            <v>0</v>
          </cell>
          <cell r="E85">
            <v>0</v>
          </cell>
          <cell r="F85">
            <v>0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-62.61</v>
          </cell>
          <cell r="D86">
            <v>0</v>
          </cell>
          <cell r="E86">
            <v>0</v>
          </cell>
          <cell r="F86">
            <v>0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0.4</v>
          </cell>
          <cell r="D87">
            <v>0</v>
          </cell>
          <cell r="E87">
            <v>0</v>
          </cell>
          <cell r="F87">
            <v>0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0.4</v>
          </cell>
          <cell r="D88">
            <v>0</v>
          </cell>
          <cell r="E88">
            <v>0</v>
          </cell>
          <cell r="F88">
            <v>0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2505</v>
          </cell>
          <cell r="D92">
            <v>90</v>
          </cell>
          <cell r="E92">
            <v>0</v>
          </cell>
          <cell r="F92">
            <v>90</v>
          </cell>
          <cell r="G92">
            <v>2595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2505</v>
          </cell>
          <cell r="D94">
            <v>90</v>
          </cell>
          <cell r="E94">
            <v>0</v>
          </cell>
          <cell r="F94">
            <v>90</v>
          </cell>
          <cell r="G94">
            <v>2595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2505</v>
          </cell>
          <cell r="D95">
            <v>90</v>
          </cell>
          <cell r="E95">
            <v>0</v>
          </cell>
          <cell r="F95">
            <v>90</v>
          </cell>
          <cell r="G95">
            <v>2595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5920200000000</v>
          </cell>
          <cell r="B109" t="str">
            <v xml:space="preserve">IMPAC                                             </v>
          </cell>
          <cell r="C109">
            <v>0</v>
          </cell>
          <cell r="D109">
            <v>11582</v>
          </cell>
          <cell r="E109">
            <v>0</v>
          </cell>
          <cell r="F109">
            <v>11582</v>
          </cell>
          <cell r="G109">
            <v>11582</v>
          </cell>
        </row>
        <row r="110">
          <cell r="A110">
            <v>5920200010000</v>
          </cell>
          <cell r="B110" t="str">
            <v xml:space="preserve">IMPAC                                             </v>
          </cell>
          <cell r="C110">
            <v>0</v>
          </cell>
          <cell r="D110">
            <v>11582</v>
          </cell>
          <cell r="E110">
            <v>0</v>
          </cell>
          <cell r="F110">
            <v>11582</v>
          </cell>
          <cell r="G110">
            <v>11582</v>
          </cell>
        </row>
        <row r="111">
          <cell r="A111">
            <v>5940000000000</v>
          </cell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5940100000000</v>
          </cell>
          <cell r="B112" t="str">
            <v>^NO impresas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3900000000000</v>
          </cell>
          <cell r="B113" t="str">
            <v xml:space="preserve">CORRECCION POR REEXPRESION                        </v>
          </cell>
          <cell r="C113">
            <v>0</v>
          </cell>
          <cell r="D113">
            <v>47670</v>
          </cell>
          <cell r="E113">
            <v>47670</v>
          </cell>
          <cell r="F113">
            <v>0</v>
          </cell>
          <cell r="G113">
            <v>0</v>
          </cell>
        </row>
        <row r="115">
          <cell r="B115" t="str">
            <v xml:space="preserve">Sumas Iguales: </v>
          </cell>
          <cell r="C115">
            <v>1363205.82</v>
          </cell>
          <cell r="D115">
            <v>82259</v>
          </cell>
          <cell r="E115">
            <v>82259</v>
          </cell>
          <cell r="F115">
            <v>0</v>
          </cell>
          <cell r="G115">
            <v>1400825.82</v>
          </cell>
        </row>
        <row r="116">
          <cell r="B116" t="str">
            <v>Total Cuentas</v>
          </cell>
          <cell r="C116">
            <v>1363205.82</v>
          </cell>
          <cell r="D116">
            <v>0</v>
          </cell>
          <cell r="E116">
            <v>0</v>
          </cell>
          <cell r="F116">
            <v>0</v>
          </cell>
          <cell r="G116">
            <v>1400825.82</v>
          </cell>
        </row>
        <row r="117">
          <cell r="B117" t="str">
            <v>^NO impresas</v>
          </cell>
          <cell r="C117">
            <v>0</v>
          </cell>
          <cell r="G117">
            <v>0</v>
          </cell>
        </row>
        <row r="120">
          <cell r="B120" t="str">
            <v xml:space="preserve">Sumas Iguales: </v>
          </cell>
          <cell r="C120">
            <v>1300469.82</v>
          </cell>
          <cell r="D120">
            <v>213519</v>
          </cell>
          <cell r="E120">
            <v>213519</v>
          </cell>
          <cell r="F120">
            <v>0</v>
          </cell>
          <cell r="G120">
            <v>1385872.82</v>
          </cell>
        </row>
        <row r="121">
          <cell r="C121">
            <v>1300469.82</v>
          </cell>
          <cell r="G121">
            <v>1385872.82</v>
          </cell>
        </row>
      </sheetData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02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DLLS"/>
      <sheetName val="TABLAS"/>
      <sheetName val="ISR"/>
      <sheetName val="SUMARIA IX"/>
      <sheetName val="10471463"/>
      <sheetName val="38022834"/>
      <sheetName val="Q10731000 USD"/>
      <sheetName val="Dividendos"/>
    </sheetNames>
    <sheetDataSet>
      <sheetData sheetId="0" refreshError="1">
        <row r="5">
          <cell r="A5">
            <v>1951</v>
          </cell>
          <cell r="B5">
            <v>1.111439E-2</v>
          </cell>
          <cell r="C5">
            <v>1.1571710000000001E-2</v>
          </cell>
          <cell r="D5">
            <v>1.211216E-2</v>
          </cell>
          <cell r="E5">
            <v>1.241709E-2</v>
          </cell>
          <cell r="F5">
            <v>1.27081E-2</v>
          </cell>
          <cell r="G5">
            <v>1.2915980000000001E-2</v>
          </cell>
          <cell r="H5">
            <v>1.277737E-2</v>
          </cell>
          <cell r="I5">
            <v>1.2527999999999999E-2</v>
          </cell>
          <cell r="J5">
            <v>1.268039E-2</v>
          </cell>
          <cell r="K5">
            <v>1.273581E-2</v>
          </cell>
          <cell r="L5">
            <v>1.2999180000000001E-2</v>
          </cell>
          <cell r="M5">
            <v>1.295754E-2</v>
          </cell>
          <cell r="N5">
            <v>1951</v>
          </cell>
        </row>
        <row r="6">
          <cell r="A6">
            <v>1952</v>
          </cell>
          <cell r="B6">
            <v>1.2971389999999999E-2</v>
          </cell>
          <cell r="C6">
            <v>1.290213E-2</v>
          </cell>
          <cell r="D6">
            <v>1.3026879999999999E-2</v>
          </cell>
          <cell r="E6">
            <v>1.3123859999999999E-2</v>
          </cell>
          <cell r="F6">
            <v>1.30823E-2</v>
          </cell>
          <cell r="G6">
            <v>1.30823E-2</v>
          </cell>
          <cell r="H6">
            <v>1.290213E-2</v>
          </cell>
          <cell r="I6">
            <v>1.290213E-2</v>
          </cell>
          <cell r="J6">
            <v>1.2694240000000001E-2</v>
          </cell>
          <cell r="K6">
            <v>1.280507E-2</v>
          </cell>
          <cell r="L6">
            <v>1.2749659999999999E-2</v>
          </cell>
          <cell r="M6">
            <v>1.268039E-2</v>
          </cell>
          <cell r="N6">
            <v>1952</v>
          </cell>
        </row>
        <row r="7">
          <cell r="A7">
            <v>1953</v>
          </cell>
          <cell r="B7">
            <v>1.248636E-2</v>
          </cell>
          <cell r="C7">
            <v>1.238939E-2</v>
          </cell>
          <cell r="D7">
            <v>1.245866E-2</v>
          </cell>
          <cell r="E7">
            <v>1.2500219999999999E-2</v>
          </cell>
          <cell r="F7">
            <v>1.268039E-2</v>
          </cell>
          <cell r="G7">
            <v>1.2624979999999999E-2</v>
          </cell>
          <cell r="H7">
            <v>1.2791220000000001E-2</v>
          </cell>
          <cell r="I7">
            <v>1.2749659999999999E-2</v>
          </cell>
          <cell r="J7">
            <v>1.2846639999999999E-2</v>
          </cell>
          <cell r="K7">
            <v>1.2943690000000001E-2</v>
          </cell>
          <cell r="L7">
            <v>1.276351E-2</v>
          </cell>
          <cell r="M7">
            <v>1.276351E-2</v>
          </cell>
          <cell r="N7">
            <v>1953</v>
          </cell>
        </row>
        <row r="8">
          <cell r="A8">
            <v>1954</v>
          </cell>
          <cell r="B8">
            <v>1.276351E-2</v>
          </cell>
          <cell r="C8">
            <v>1.280507E-2</v>
          </cell>
          <cell r="D8">
            <v>1.292983E-2</v>
          </cell>
          <cell r="E8">
            <v>1.3276329999999999E-2</v>
          </cell>
          <cell r="F8">
            <v>1.391382E-2</v>
          </cell>
          <cell r="G8">
            <v>1.4093919999999999E-2</v>
          </cell>
          <cell r="H8">
            <v>1.410778E-2</v>
          </cell>
          <cell r="I8">
            <v>1.421861E-2</v>
          </cell>
          <cell r="J8">
            <v>1.417705E-2</v>
          </cell>
          <cell r="K8">
            <v>1.450969E-2</v>
          </cell>
          <cell r="L8">
            <v>1.4662150000000001E-2</v>
          </cell>
          <cell r="M8">
            <v>1.484225E-2</v>
          </cell>
          <cell r="N8">
            <v>1954</v>
          </cell>
        </row>
        <row r="9">
          <cell r="A9">
            <v>1955</v>
          </cell>
          <cell r="B9">
            <v>1.495316E-2</v>
          </cell>
          <cell r="C9">
            <v>1.510562E-2</v>
          </cell>
          <cell r="D9">
            <v>1.5410480000000001E-2</v>
          </cell>
          <cell r="E9">
            <v>1.557673E-2</v>
          </cell>
          <cell r="F9">
            <v>1.554902E-2</v>
          </cell>
          <cell r="G9">
            <v>1.5646070000000002E-2</v>
          </cell>
          <cell r="H9">
            <v>1.5881659999999999E-2</v>
          </cell>
          <cell r="I9">
            <v>1.604798E-2</v>
          </cell>
          <cell r="J9">
            <v>1.604798E-2</v>
          </cell>
          <cell r="K9">
            <v>1.621423E-2</v>
          </cell>
          <cell r="L9">
            <v>1.6283490000000001E-2</v>
          </cell>
          <cell r="M9">
            <v>1.6241930000000002E-2</v>
          </cell>
          <cell r="N9">
            <v>1955</v>
          </cell>
        </row>
        <row r="10">
          <cell r="A10">
            <v>1956</v>
          </cell>
          <cell r="B10">
            <v>1.6491450000000001E-2</v>
          </cell>
          <cell r="C10">
            <v>1.664392E-2</v>
          </cell>
          <cell r="D10">
            <v>1.6630059999999999E-2</v>
          </cell>
          <cell r="E10">
            <v>1.6727039999999999E-2</v>
          </cell>
          <cell r="F10">
            <v>1.661613E-2</v>
          </cell>
          <cell r="G10">
            <v>1.6477599999999998E-2</v>
          </cell>
          <cell r="H10">
            <v>1.629742E-2</v>
          </cell>
          <cell r="I10">
            <v>1.6339059999999999E-2</v>
          </cell>
          <cell r="J10">
            <v>1.6339059999999999E-2</v>
          </cell>
          <cell r="K10">
            <v>1.6228079999999999E-2</v>
          </cell>
          <cell r="L10">
            <v>1.6394470000000001E-2</v>
          </cell>
          <cell r="M10">
            <v>1.6519160000000001E-2</v>
          </cell>
          <cell r="N10">
            <v>1956</v>
          </cell>
        </row>
        <row r="11">
          <cell r="A11">
            <v>1957</v>
          </cell>
          <cell r="B11">
            <v>1.661613E-2</v>
          </cell>
          <cell r="C11">
            <v>1.6630059999999999E-2</v>
          </cell>
          <cell r="D11">
            <v>1.6727039999999999E-2</v>
          </cell>
          <cell r="E11">
            <v>1.696255E-2</v>
          </cell>
          <cell r="F11">
            <v>1.71428E-2</v>
          </cell>
          <cell r="G11">
            <v>1.7115089999999999E-2</v>
          </cell>
          <cell r="H11">
            <v>1.735068E-2</v>
          </cell>
          <cell r="I11">
            <v>1.7641609999999999E-2</v>
          </cell>
          <cell r="J11">
            <v>1.751693E-2</v>
          </cell>
          <cell r="K11">
            <v>1.7530779999999999E-2</v>
          </cell>
          <cell r="L11">
            <v>1.751693E-2</v>
          </cell>
          <cell r="M11">
            <v>1.754464E-2</v>
          </cell>
          <cell r="N11">
            <v>1957</v>
          </cell>
        </row>
        <row r="12">
          <cell r="A12">
            <v>1958</v>
          </cell>
          <cell r="B12">
            <v>1.776645E-2</v>
          </cell>
          <cell r="C12">
            <v>1.7711029999999999E-2</v>
          </cell>
          <cell r="D12">
            <v>1.7821859999999998E-2</v>
          </cell>
          <cell r="E12">
            <v>1.8002029999999999E-2</v>
          </cell>
          <cell r="F12">
            <v>1.8140570000000002E-2</v>
          </cell>
          <cell r="G12">
            <v>1.8099009999999999E-2</v>
          </cell>
          <cell r="H12">
            <v>1.8057449999999999E-2</v>
          </cell>
          <cell r="I12">
            <v>1.7974250000000001E-2</v>
          </cell>
          <cell r="J12">
            <v>1.7724879999999998E-2</v>
          </cell>
          <cell r="K12">
            <v>1.7863420000000001E-2</v>
          </cell>
          <cell r="L12">
            <v>1.8099009999999999E-2</v>
          </cell>
          <cell r="M12">
            <v>1.8182130000000001E-2</v>
          </cell>
          <cell r="N12">
            <v>1958</v>
          </cell>
        </row>
        <row r="13">
          <cell r="A13">
            <v>1959</v>
          </cell>
          <cell r="B13">
            <v>1.8209840000000001E-2</v>
          </cell>
          <cell r="C13">
            <v>1.8195989999999999E-2</v>
          </cell>
          <cell r="D13">
            <v>1.829296E-2</v>
          </cell>
          <cell r="E13">
            <v>1.829296E-2</v>
          </cell>
          <cell r="F13">
            <v>1.8126719999999999E-2</v>
          </cell>
          <cell r="G13">
            <v>1.8140570000000002E-2</v>
          </cell>
          <cell r="H13">
            <v>1.8126719999999999E-2</v>
          </cell>
          <cell r="I13">
            <v>1.8182130000000001E-2</v>
          </cell>
          <cell r="J13">
            <v>1.7891130000000002E-2</v>
          </cell>
          <cell r="K13">
            <v>1.80436E-2</v>
          </cell>
          <cell r="L13">
            <v>1.8182130000000001E-2</v>
          </cell>
          <cell r="M13">
            <v>1.8237550000000002E-2</v>
          </cell>
          <cell r="N13">
            <v>1959</v>
          </cell>
        </row>
        <row r="14">
          <cell r="A14">
            <v>1960</v>
          </cell>
          <cell r="B14">
            <v>1.8362380000000001E-2</v>
          </cell>
          <cell r="C14">
            <v>1.8376239999999999E-2</v>
          </cell>
          <cell r="D14">
            <v>1.881963E-2</v>
          </cell>
          <cell r="E14">
            <v>1.9207689999999999E-2</v>
          </cell>
          <cell r="F14">
            <v>1.913842E-2</v>
          </cell>
          <cell r="G14">
            <v>1.9124559999999999E-2</v>
          </cell>
          <cell r="H14">
            <v>1.9263099999999998E-2</v>
          </cell>
          <cell r="I14">
            <v>1.9332370000000001E-2</v>
          </cell>
          <cell r="J14">
            <v>1.9429419999999999E-2</v>
          </cell>
          <cell r="K14">
            <v>1.9207689999999999E-2</v>
          </cell>
          <cell r="L14">
            <v>1.913842E-2</v>
          </cell>
          <cell r="M14">
            <v>1.9221539999999999E-2</v>
          </cell>
          <cell r="N14">
            <v>1960</v>
          </cell>
        </row>
        <row r="15">
          <cell r="A15">
            <v>1961</v>
          </cell>
          <cell r="B15">
            <v>1.9276959999999999E-2</v>
          </cell>
          <cell r="C15">
            <v>1.9249249999999999E-2</v>
          </cell>
          <cell r="D15">
            <v>1.9207689999999999E-2</v>
          </cell>
          <cell r="E15">
            <v>1.9332370000000001E-2</v>
          </cell>
          <cell r="F15">
            <v>1.9332370000000001E-2</v>
          </cell>
          <cell r="G15">
            <v>1.9346220000000001E-2</v>
          </cell>
          <cell r="H15">
            <v>1.9290809999999999E-2</v>
          </cell>
          <cell r="I15">
            <v>1.9152269999999999E-2</v>
          </cell>
          <cell r="J15">
            <v>1.909686E-2</v>
          </cell>
          <cell r="K15">
            <v>1.911071E-2</v>
          </cell>
          <cell r="L15">
            <v>1.9207689999999999E-2</v>
          </cell>
          <cell r="M15">
            <v>1.9221539999999999E-2</v>
          </cell>
          <cell r="N15">
            <v>1961</v>
          </cell>
        </row>
        <row r="16">
          <cell r="A16">
            <v>1962</v>
          </cell>
          <cell r="B16">
            <v>1.9152269999999999E-2</v>
          </cell>
          <cell r="C16">
            <v>1.9263099999999998E-2</v>
          </cell>
          <cell r="D16">
            <v>1.9429419999999999E-2</v>
          </cell>
          <cell r="E16">
            <v>1.9581810000000002E-2</v>
          </cell>
          <cell r="F16">
            <v>1.955411E-2</v>
          </cell>
          <cell r="G16">
            <v>1.9581810000000002E-2</v>
          </cell>
          <cell r="H16">
            <v>1.9692790000000002E-2</v>
          </cell>
          <cell r="I16">
            <v>1.9734350000000001E-2</v>
          </cell>
          <cell r="J16">
            <v>1.9831330000000001E-2</v>
          </cell>
          <cell r="K16">
            <v>1.9748209999999999E-2</v>
          </cell>
          <cell r="L16">
            <v>1.9748209999999999E-2</v>
          </cell>
          <cell r="M16">
            <v>1.966501E-2</v>
          </cell>
          <cell r="N16">
            <v>1962</v>
          </cell>
        </row>
        <row r="17">
          <cell r="A17">
            <v>1963</v>
          </cell>
          <cell r="B17">
            <v>1.9623379999999999E-2</v>
          </cell>
          <cell r="C17">
            <v>1.9706649999999999E-2</v>
          </cell>
          <cell r="D17">
            <v>1.9706649999999999E-2</v>
          </cell>
          <cell r="E17">
            <v>1.9734350000000001E-2</v>
          </cell>
          <cell r="F17">
            <v>1.9789770000000002E-2</v>
          </cell>
          <cell r="G17">
            <v>1.9706649999999999E-2</v>
          </cell>
          <cell r="H17">
            <v>1.9762060000000001E-2</v>
          </cell>
          <cell r="I17">
            <v>1.9692790000000002E-2</v>
          </cell>
          <cell r="J17">
            <v>1.9678859999999999E-2</v>
          </cell>
          <cell r="K17">
            <v>1.9609519999999998E-2</v>
          </cell>
          <cell r="L17">
            <v>1.9595669999999999E-2</v>
          </cell>
          <cell r="M17">
            <v>1.9734350000000001E-2</v>
          </cell>
          <cell r="N17">
            <v>1963</v>
          </cell>
        </row>
        <row r="18">
          <cell r="A18">
            <v>1964</v>
          </cell>
          <cell r="B18">
            <v>1.9969870000000001E-2</v>
          </cell>
          <cell r="C18">
            <v>2.0344069999999999E-2</v>
          </cell>
          <cell r="D18">
            <v>2.030243E-2</v>
          </cell>
          <cell r="E18">
            <v>2.041341E-2</v>
          </cell>
          <cell r="F18">
            <v>2.046883E-2</v>
          </cell>
          <cell r="G18">
            <v>2.048268E-2</v>
          </cell>
          <cell r="H18">
            <v>2.067664E-2</v>
          </cell>
          <cell r="I18">
            <v>2.0898369999999999E-2</v>
          </cell>
          <cell r="J18">
            <v>2.060737E-2</v>
          </cell>
          <cell r="K18">
            <v>2.057966E-2</v>
          </cell>
          <cell r="L18">
            <v>2.078754E-2</v>
          </cell>
          <cell r="M18">
            <v>2.08291E-2</v>
          </cell>
          <cell r="N18">
            <v>1964</v>
          </cell>
        </row>
        <row r="19">
          <cell r="A19">
            <v>1965</v>
          </cell>
          <cell r="B19">
            <v>2.0732049999999998E-2</v>
          </cell>
          <cell r="C19">
            <v>2.081525E-2</v>
          </cell>
          <cell r="D19">
            <v>2.088452E-2</v>
          </cell>
          <cell r="E19">
            <v>2.0981570000000001E-2</v>
          </cell>
          <cell r="F19">
            <v>2.0995420000000001E-2</v>
          </cell>
          <cell r="G19">
            <v>2.1023130000000001E-2</v>
          </cell>
          <cell r="H19">
            <v>2.092608E-2</v>
          </cell>
          <cell r="I19">
            <v>2.0870659999999999E-2</v>
          </cell>
          <cell r="J19">
            <v>2.095379E-2</v>
          </cell>
          <cell r="K19">
            <v>2.0939929999999999E-2</v>
          </cell>
          <cell r="L19">
            <v>2.0870659999999999E-2</v>
          </cell>
          <cell r="M19">
            <v>2.0870659999999999E-2</v>
          </cell>
          <cell r="N19">
            <v>1965</v>
          </cell>
        </row>
        <row r="20">
          <cell r="A20">
            <v>1966</v>
          </cell>
          <cell r="B20">
            <v>2.0939929999999999E-2</v>
          </cell>
          <cell r="C20">
            <v>2.092608E-2</v>
          </cell>
          <cell r="D20">
            <v>2.088452E-2</v>
          </cell>
          <cell r="E20">
            <v>2.1009280000000002E-2</v>
          </cell>
          <cell r="F20">
            <v>2.1009280000000002E-2</v>
          </cell>
          <cell r="G20">
            <v>2.1092469999999999E-2</v>
          </cell>
          <cell r="H20">
            <v>2.1231010000000002E-2</v>
          </cell>
          <cell r="I20">
            <v>2.135569E-2</v>
          </cell>
          <cell r="J20">
            <v>2.135569E-2</v>
          </cell>
          <cell r="K20">
            <v>2.1425039999999999E-2</v>
          </cell>
          <cell r="L20">
            <v>2.145275E-2</v>
          </cell>
          <cell r="M20">
            <v>2.1466599999999999E-2</v>
          </cell>
          <cell r="N20">
            <v>1966</v>
          </cell>
        </row>
        <row r="21">
          <cell r="A21">
            <v>1967</v>
          </cell>
          <cell r="B21">
            <v>2.1632849999999999E-2</v>
          </cell>
          <cell r="C21">
            <v>2.1771530000000001E-2</v>
          </cell>
          <cell r="D21">
            <v>2.181309E-2</v>
          </cell>
          <cell r="E21">
            <v>2.1785390000000002E-2</v>
          </cell>
          <cell r="F21">
            <v>2.1646769999999999E-2</v>
          </cell>
          <cell r="G21">
            <v>2.1535869999999999E-2</v>
          </cell>
          <cell r="H21">
            <v>2.1688329999999999E-2</v>
          </cell>
          <cell r="I21">
            <v>2.1771530000000001E-2</v>
          </cell>
          <cell r="J21">
            <v>2.193778E-2</v>
          </cell>
          <cell r="K21">
            <v>2.200705E-2</v>
          </cell>
          <cell r="L21">
            <v>2.1965479999999999E-2</v>
          </cell>
          <cell r="M21">
            <v>2.18408E-2</v>
          </cell>
          <cell r="N21">
            <v>1967</v>
          </cell>
        </row>
        <row r="22">
          <cell r="A22">
            <v>1968</v>
          </cell>
          <cell r="B22">
            <v>2.1896220000000001E-2</v>
          </cell>
          <cell r="C22">
            <v>2.1896220000000001E-2</v>
          </cell>
          <cell r="D22">
            <v>2.207632E-2</v>
          </cell>
          <cell r="E22">
            <v>2.2242640000000001E-2</v>
          </cell>
          <cell r="F22">
            <v>2.2408959999999999E-2</v>
          </cell>
          <cell r="G22">
            <v>2.222878E-2</v>
          </cell>
          <cell r="H22">
            <v>2.2173370000000001E-2</v>
          </cell>
          <cell r="I22">
            <v>2.2284200000000001E-2</v>
          </cell>
          <cell r="J22">
            <v>2.2353540000000002E-2</v>
          </cell>
          <cell r="K22">
            <v>2.2284200000000001E-2</v>
          </cell>
          <cell r="L22">
            <v>2.2325830000000001E-2</v>
          </cell>
          <cell r="M22">
            <v>2.2284200000000001E-2</v>
          </cell>
          <cell r="N22">
            <v>1968</v>
          </cell>
        </row>
        <row r="23">
          <cell r="A23">
            <v>1969</v>
          </cell>
          <cell r="B23">
            <v>2.238095E-2</v>
          </cell>
          <cell r="C23">
            <v>2.2462889999999999E-2</v>
          </cell>
          <cell r="D23">
            <v>2.2483929999999999E-2</v>
          </cell>
          <cell r="E23">
            <v>2.2544089999999999E-2</v>
          </cell>
          <cell r="F23">
            <v>2.254623E-2</v>
          </cell>
          <cell r="G23">
            <v>2.2624020000000002E-2</v>
          </cell>
          <cell r="H23">
            <v>2.2711439999999999E-2</v>
          </cell>
          <cell r="I23">
            <v>2.2736630000000001E-2</v>
          </cell>
          <cell r="J23">
            <v>2.294962E-2</v>
          </cell>
          <cell r="K23">
            <v>2.3189290000000001E-2</v>
          </cell>
          <cell r="L23">
            <v>2.3192250000000001E-2</v>
          </cell>
          <cell r="M23">
            <v>2.336709E-2</v>
          </cell>
          <cell r="N23">
            <v>1969</v>
          </cell>
        </row>
        <row r="24">
          <cell r="A24">
            <v>1970</v>
          </cell>
          <cell r="B24">
            <v>2.354386E-2</v>
          </cell>
          <cell r="C24">
            <v>2.3541780000000002E-2</v>
          </cell>
          <cell r="D24">
            <v>2.3612310000000001E-2</v>
          </cell>
          <cell r="E24">
            <v>2.3643129999999998E-2</v>
          </cell>
          <cell r="F24">
            <v>2.3691730000000001E-2</v>
          </cell>
          <cell r="G24">
            <v>2.3835160000000001E-2</v>
          </cell>
          <cell r="H24">
            <v>2.3951400000000001E-2</v>
          </cell>
          <cell r="I24">
            <v>2.406312E-2</v>
          </cell>
          <cell r="J24">
            <v>2.4122310000000001E-2</v>
          </cell>
          <cell r="K24">
            <v>2.4128239999999999E-2</v>
          </cell>
          <cell r="L24">
            <v>2.4243589999999999E-2</v>
          </cell>
          <cell r="M24">
            <v>2.4463539999999999E-2</v>
          </cell>
          <cell r="N24">
            <v>1970</v>
          </cell>
        </row>
        <row r="25">
          <cell r="A25">
            <v>1971</v>
          </cell>
          <cell r="B25">
            <v>2.4706539999999999E-2</v>
          </cell>
          <cell r="C25">
            <v>2.48087E-2</v>
          </cell>
          <cell r="D25">
            <v>2.4902939999999998E-2</v>
          </cell>
          <cell r="E25">
            <v>2.5029920000000001E-2</v>
          </cell>
          <cell r="F25">
            <v>2.5081929999999999E-2</v>
          </cell>
          <cell r="G25">
            <v>2.5196679999999999E-2</v>
          </cell>
          <cell r="H25">
            <v>2.5176529999999999E-2</v>
          </cell>
          <cell r="I25">
            <v>2.540657E-2</v>
          </cell>
          <cell r="J25">
            <v>2.5490280000000001E-2</v>
          </cell>
          <cell r="K25">
            <v>2.5515469999999998E-2</v>
          </cell>
          <cell r="L25">
            <v>2.555748E-2</v>
          </cell>
          <cell r="M25">
            <v>2.5677419999999999E-2</v>
          </cell>
          <cell r="N25">
            <v>1971</v>
          </cell>
        </row>
        <row r="26">
          <cell r="A26">
            <v>1972</v>
          </cell>
          <cell r="B26">
            <v>2.5791580000000001E-2</v>
          </cell>
          <cell r="C26">
            <v>2.587219E-2</v>
          </cell>
          <cell r="D26">
            <v>2.601347E-2</v>
          </cell>
          <cell r="E26">
            <v>2.6177639999999999E-2</v>
          </cell>
          <cell r="F26">
            <v>2.622824E-2</v>
          </cell>
          <cell r="G26">
            <v>2.6422640000000001E-2</v>
          </cell>
          <cell r="H26">
            <v>2.6521980000000001E-2</v>
          </cell>
          <cell r="I26">
            <v>2.6698010000000001E-2</v>
          </cell>
          <cell r="J26">
            <v>2.6818249999999998E-2</v>
          </cell>
          <cell r="K26">
            <v>2.6837730000000001E-2</v>
          </cell>
          <cell r="L26">
            <v>2.7013019999999999E-2</v>
          </cell>
          <cell r="M26">
            <v>2.710444E-2</v>
          </cell>
          <cell r="N26">
            <v>1972</v>
          </cell>
        </row>
        <row r="27">
          <cell r="A27">
            <v>1973</v>
          </cell>
          <cell r="B27">
            <v>2.749797E-2</v>
          </cell>
          <cell r="C27">
            <v>2.7726379999999998E-2</v>
          </cell>
          <cell r="D27">
            <v>2.7969600000000001E-2</v>
          </cell>
          <cell r="E27">
            <v>2.841262E-2</v>
          </cell>
          <cell r="F27">
            <v>2.87157E-2</v>
          </cell>
          <cell r="G27">
            <v>2.894944E-2</v>
          </cell>
          <cell r="H27">
            <v>2.96914E-2</v>
          </cell>
          <cell r="I27">
            <v>3.0169020000000001E-2</v>
          </cell>
          <cell r="J27">
            <v>3.088668E-2</v>
          </cell>
          <cell r="K27">
            <v>3.1281620000000003E-2</v>
          </cell>
          <cell r="L27">
            <v>3.1666340000000001E-2</v>
          </cell>
          <cell r="M27">
            <v>3.2897179999999998E-2</v>
          </cell>
          <cell r="N27">
            <v>1973</v>
          </cell>
        </row>
        <row r="28">
          <cell r="A28">
            <v>1974</v>
          </cell>
          <cell r="B28">
            <v>3.4076090000000003E-2</v>
          </cell>
          <cell r="C28">
            <v>3.48445E-2</v>
          </cell>
          <cell r="D28">
            <v>3.5112980000000002E-2</v>
          </cell>
          <cell r="E28">
            <v>3.5591119999999997E-2</v>
          </cell>
          <cell r="F28">
            <v>3.5869600000000001E-2</v>
          </cell>
          <cell r="G28">
            <v>3.622425E-2</v>
          </cell>
          <cell r="H28">
            <v>3.6748099999999999E-2</v>
          </cell>
          <cell r="I28">
            <v>3.7137040000000003E-2</v>
          </cell>
          <cell r="J28">
            <v>3.755762E-2</v>
          </cell>
          <cell r="K28">
            <v>3.8302910000000003E-2</v>
          </cell>
          <cell r="L28">
            <v>3.9366400000000003E-2</v>
          </cell>
          <cell r="M28">
            <v>3.9674000000000001E-2</v>
          </cell>
          <cell r="N28">
            <v>1974</v>
          </cell>
        </row>
        <row r="29">
          <cell r="A29">
            <v>1975</v>
          </cell>
          <cell r="B29">
            <v>4.0181250000000002E-2</v>
          </cell>
          <cell r="C29">
            <v>4.040328E-2</v>
          </cell>
          <cell r="D29">
            <v>4.0657690000000003E-2</v>
          </cell>
          <cell r="E29">
            <v>4.1001219999999998E-2</v>
          </cell>
          <cell r="F29">
            <v>4.1549370000000002E-2</v>
          </cell>
          <cell r="G29">
            <v>4.2254809999999997E-2</v>
          </cell>
          <cell r="H29">
            <v>4.2594189999999997E-2</v>
          </cell>
          <cell r="I29">
            <v>4.29632E-2</v>
          </cell>
          <cell r="J29">
            <v>4.3275319999999999E-2</v>
          </cell>
          <cell r="K29">
            <v>4.3497429999999997E-2</v>
          </cell>
          <cell r="L29">
            <v>4.3801840000000002E-2</v>
          </cell>
          <cell r="M29">
            <v>4.4159150000000001E-2</v>
          </cell>
          <cell r="N29">
            <v>1975</v>
          </cell>
        </row>
        <row r="30">
          <cell r="A30">
            <v>1976</v>
          </cell>
          <cell r="B30">
            <v>4.5013270000000001E-2</v>
          </cell>
          <cell r="C30">
            <v>4.5854209999999999E-2</v>
          </cell>
          <cell r="D30">
            <v>4.6304270000000002E-2</v>
          </cell>
          <cell r="E30">
            <v>4.6628320000000001E-2</v>
          </cell>
          <cell r="F30">
            <v>4.6954580000000003E-2</v>
          </cell>
          <cell r="G30">
            <v>4.7142389999999999E-2</v>
          </cell>
          <cell r="H30">
            <v>4.7540300000000001E-2</v>
          </cell>
          <cell r="I30">
            <v>4.7997030000000003E-2</v>
          </cell>
          <cell r="J30">
            <v>4.9633629999999998E-2</v>
          </cell>
          <cell r="K30">
            <v>5.2428170000000003E-2</v>
          </cell>
          <cell r="L30">
            <v>5.4796209999999998E-2</v>
          </cell>
          <cell r="M30">
            <v>5.6171150000000003E-2</v>
          </cell>
          <cell r="N30">
            <v>1976</v>
          </cell>
        </row>
        <row r="31">
          <cell r="A31">
            <v>1977</v>
          </cell>
          <cell r="B31">
            <v>5.7959999999999998E-2</v>
          </cell>
          <cell r="C31">
            <v>5.9239960000000001E-2</v>
          </cell>
          <cell r="D31">
            <v>6.0274399999999999E-2</v>
          </cell>
          <cell r="E31">
            <v>6.1186079999999997E-2</v>
          </cell>
          <cell r="F31">
            <v>6.1723340000000002E-2</v>
          </cell>
          <cell r="G31">
            <v>6.2478190000000003E-2</v>
          </cell>
          <cell r="H31">
            <v>6.3185329999999998E-2</v>
          </cell>
          <cell r="I31">
            <v>6.4482399999999995E-2</v>
          </cell>
          <cell r="J31">
            <v>6.5627450000000004E-2</v>
          </cell>
          <cell r="K31">
            <v>6.6127519999999995E-2</v>
          </cell>
          <cell r="L31">
            <v>6.6851629999999995E-2</v>
          </cell>
          <cell r="M31">
            <v>6.7776799999999998E-2</v>
          </cell>
          <cell r="N31">
            <v>1977</v>
          </cell>
        </row>
        <row r="32">
          <cell r="A32">
            <v>1978</v>
          </cell>
          <cell r="B32">
            <v>6.9281969999999998E-2</v>
          </cell>
          <cell r="C32">
            <v>7.0276560000000002E-2</v>
          </cell>
          <cell r="D32">
            <v>7.1009030000000001E-2</v>
          </cell>
          <cell r="E32">
            <v>7.1799589999999996E-2</v>
          </cell>
          <cell r="F32">
            <v>7.2503609999999996E-2</v>
          </cell>
          <cell r="G32">
            <v>7.3498869999999994E-2</v>
          </cell>
          <cell r="H32">
            <v>7.4745339999999993E-2</v>
          </cell>
          <cell r="I32">
            <v>7.5492110000000001E-2</v>
          </cell>
          <cell r="J32">
            <v>7.6354089999999999E-2</v>
          </cell>
          <cell r="K32">
            <v>7.7277029999999997E-2</v>
          </cell>
          <cell r="L32">
            <v>7.8074110000000002E-2</v>
          </cell>
          <cell r="M32">
            <v>7.8736790000000001E-2</v>
          </cell>
          <cell r="N32">
            <v>1978</v>
          </cell>
        </row>
        <row r="33">
          <cell r="A33">
            <v>1979</v>
          </cell>
          <cell r="B33">
            <v>8.1529710000000005E-2</v>
          </cell>
          <cell r="C33">
            <v>8.270276E-2</v>
          </cell>
          <cell r="D33">
            <v>8.3823289999999995E-2</v>
          </cell>
          <cell r="E33">
            <v>8.4574730000000001E-2</v>
          </cell>
          <cell r="F33">
            <v>8.5683850000000006E-2</v>
          </cell>
          <cell r="G33">
            <v>8.6632650000000005E-2</v>
          </cell>
          <cell r="H33">
            <v>8.7683990000000003E-2</v>
          </cell>
          <cell r="I33">
            <v>8.9009359999999996E-2</v>
          </cell>
          <cell r="J33">
            <v>9.0103000000000003E-2</v>
          </cell>
          <cell r="K33">
            <v>9.16767E-2</v>
          </cell>
          <cell r="L33">
            <v>9.285583E-2</v>
          </cell>
          <cell r="M33">
            <v>9.4498139999999994E-2</v>
          </cell>
          <cell r="N33">
            <v>1979</v>
          </cell>
        </row>
        <row r="34">
          <cell r="A34">
            <v>1980</v>
          </cell>
          <cell r="B34">
            <v>9.910687E-2</v>
          </cell>
          <cell r="C34">
            <v>0.10139808</v>
          </cell>
          <cell r="D34">
            <v>0.10348208</v>
          </cell>
          <cell r="E34">
            <v>0.10529137</v>
          </cell>
          <cell r="F34">
            <v>0.10701057999999999</v>
          </cell>
          <cell r="G34">
            <v>0.10913214</v>
          </cell>
          <cell r="H34">
            <v>0.11217998</v>
          </cell>
          <cell r="I34">
            <v>0.11450275</v>
          </cell>
          <cell r="J34">
            <v>0.11577493</v>
          </cell>
          <cell r="K34">
            <v>0.11752881</v>
          </cell>
          <cell r="L34">
            <v>0.11956814</v>
          </cell>
          <cell r="M34">
            <v>0.1227037</v>
          </cell>
          <cell r="N34">
            <v>1980</v>
          </cell>
        </row>
        <row r="35">
          <cell r="A35">
            <v>1981</v>
          </cell>
          <cell r="B35">
            <v>0.12665581000000001</v>
          </cell>
          <cell r="C35">
            <v>0.12976840000000001</v>
          </cell>
          <cell r="D35">
            <v>0.13254487000000001</v>
          </cell>
          <cell r="E35">
            <v>0.13553159000000001</v>
          </cell>
          <cell r="F35">
            <v>0.13758218</v>
          </cell>
          <cell r="G35">
            <v>0.13950562999999999</v>
          </cell>
          <cell r="H35">
            <v>0.14196323999999999</v>
          </cell>
          <cell r="I35">
            <v>0.14488743000000001</v>
          </cell>
          <cell r="J35">
            <v>0.14758433000000001</v>
          </cell>
          <cell r="K35">
            <v>0.15085783999999999</v>
          </cell>
          <cell r="L35">
            <v>0.15376247000000001</v>
          </cell>
          <cell r="M35">
            <v>0.15790091000000001</v>
          </cell>
          <cell r="N35">
            <v>1981</v>
          </cell>
        </row>
        <row r="36">
          <cell r="A36">
            <v>1982</v>
          </cell>
          <cell r="B36">
            <v>0.16574623999999999</v>
          </cell>
          <cell r="C36">
            <v>0.17226005999999999</v>
          </cell>
          <cell r="D36">
            <v>0.17854946999999999</v>
          </cell>
          <cell r="E36">
            <v>0.18822787999999999</v>
          </cell>
          <cell r="F36">
            <v>0.19880738000000001</v>
          </cell>
          <cell r="G36">
            <v>0.20838309999999999</v>
          </cell>
          <cell r="H36">
            <v>0.21912144</v>
          </cell>
          <cell r="I36">
            <v>0.24371137000000001</v>
          </cell>
          <cell r="J36">
            <v>0.25672211</v>
          </cell>
          <cell r="K36">
            <v>0.27002814000000003</v>
          </cell>
          <cell r="L36">
            <v>0.28368237000000002</v>
          </cell>
          <cell r="M36">
            <v>0.31397541000000001</v>
          </cell>
          <cell r="N36">
            <v>1982</v>
          </cell>
        </row>
        <row r="37">
          <cell r="A37">
            <v>1983</v>
          </cell>
          <cell r="B37">
            <v>0.34813796000000002</v>
          </cell>
          <cell r="C37">
            <v>0.36682334999999999</v>
          </cell>
          <cell r="D37">
            <v>0.38457601000000002</v>
          </cell>
          <cell r="E37">
            <v>0.40892508999999999</v>
          </cell>
          <cell r="F37">
            <v>0.42666041999999998</v>
          </cell>
          <cell r="G37">
            <v>0.44281723000000001</v>
          </cell>
          <cell r="H37">
            <v>0.46471196999999997</v>
          </cell>
          <cell r="I37">
            <v>0.48274808000000002</v>
          </cell>
          <cell r="J37">
            <v>0.49760745000000001</v>
          </cell>
          <cell r="K37">
            <v>0.51411890000000005</v>
          </cell>
          <cell r="L37">
            <v>0.54430999999999996</v>
          </cell>
          <cell r="M37">
            <v>0.56759833000000004</v>
          </cell>
          <cell r="N37">
            <v>1983</v>
          </cell>
        </row>
        <row r="38">
          <cell r="A38">
            <v>1984</v>
          </cell>
          <cell r="B38">
            <v>0.60365685999999996</v>
          </cell>
          <cell r="C38">
            <v>0.63551484999999996</v>
          </cell>
          <cell r="D38">
            <v>0.66267847999999996</v>
          </cell>
          <cell r="E38">
            <v>0.69134744000000004</v>
          </cell>
          <cell r="F38">
            <v>0.71426986999999997</v>
          </cell>
          <cell r="G38">
            <v>0.74012169000000005</v>
          </cell>
          <cell r="H38">
            <v>0.76438415999999998</v>
          </cell>
          <cell r="I38">
            <v>0.78611123999999999</v>
          </cell>
          <cell r="J38">
            <v>0.80952879</v>
          </cell>
          <cell r="K38">
            <v>0.83781494999999995</v>
          </cell>
          <cell r="L38">
            <v>0.86656798999999995</v>
          </cell>
          <cell r="M38">
            <v>0.90336987000000002</v>
          </cell>
          <cell r="N38">
            <v>1984</v>
          </cell>
        </row>
        <row r="39">
          <cell r="A39">
            <v>1985</v>
          </cell>
          <cell r="B39">
            <v>0.97038093000000003</v>
          </cell>
          <cell r="C39">
            <v>1.01069553</v>
          </cell>
          <cell r="D39">
            <v>1.0498609400000001</v>
          </cell>
          <cell r="E39">
            <v>1.0821648500000001</v>
          </cell>
          <cell r="F39">
            <v>1.1078022700000001</v>
          </cell>
          <cell r="G39">
            <v>1.1355459000000001</v>
          </cell>
          <cell r="H39">
            <v>1.1750939600000001</v>
          </cell>
          <cell r="I39">
            <v>1.22646583</v>
          </cell>
          <cell r="J39">
            <v>1.2754493</v>
          </cell>
          <cell r="K39">
            <v>1.3238987600000001</v>
          </cell>
          <cell r="L39">
            <v>1.3849782399999999</v>
          </cell>
          <cell r="M39">
            <v>1.4792637500000001</v>
          </cell>
          <cell r="N39">
            <v>1985</v>
          </cell>
        </row>
        <row r="40">
          <cell r="A40">
            <v>1986</v>
          </cell>
          <cell r="B40">
            <v>1.61004496</v>
          </cell>
          <cell r="C40">
            <v>1.68162645</v>
          </cell>
          <cell r="D40">
            <v>1.7597882</v>
          </cell>
          <cell r="E40">
            <v>1.8516619599999999</v>
          </cell>
          <cell r="F40">
            <v>1.9545622600000001</v>
          </cell>
          <cell r="G40">
            <v>2.0800227200000001</v>
          </cell>
          <cell r="H40">
            <v>2.1838076499999999</v>
          </cell>
          <cell r="I40">
            <v>2.3579192299999998</v>
          </cell>
          <cell r="J40">
            <v>2.4993703300000001</v>
          </cell>
          <cell r="K40">
            <v>2.6422364300000001</v>
          </cell>
          <cell r="L40">
            <v>2.8208444300000002</v>
          </cell>
          <cell r="M40">
            <v>3.0435426699999999</v>
          </cell>
          <cell r="N40">
            <v>1986</v>
          </cell>
        </row>
        <row r="41">
          <cell r="A41">
            <v>1987</v>
          </cell>
          <cell r="B41">
            <v>3.29002207</v>
          </cell>
          <cell r="C41">
            <v>3.52738906</v>
          </cell>
          <cell r="D41">
            <v>3.7605332300000001</v>
          </cell>
          <cell r="E41">
            <v>4.08954284</v>
          </cell>
          <cell r="F41">
            <v>4.3978087700000001</v>
          </cell>
          <cell r="G41">
            <v>4.7160020400000002</v>
          </cell>
          <cell r="H41">
            <v>5.0979821300000001</v>
          </cell>
          <cell r="I41">
            <v>5.5146338000000004</v>
          </cell>
          <cell r="J41">
            <v>5.8779445800000003</v>
          </cell>
          <cell r="K41">
            <v>6.3677177299999999</v>
          </cell>
          <cell r="L41">
            <v>6.8728263900000002</v>
          </cell>
          <cell r="M41">
            <v>7.8879332900000003</v>
          </cell>
          <cell r="N41">
            <v>1987</v>
          </cell>
        </row>
        <row r="42">
          <cell r="A42">
            <v>1988</v>
          </cell>
          <cell r="B42">
            <v>9.1076161899999999</v>
          </cell>
          <cell r="C42">
            <v>9.8672597</v>
          </cell>
          <cell r="D42">
            <v>10.37254272</v>
          </cell>
          <cell r="E42">
            <v>10.69180094</v>
          </cell>
          <cell r="F42">
            <v>10.89866692</v>
          </cell>
          <cell r="G42">
            <v>11.12100519</v>
          </cell>
          <cell r="H42">
            <v>11.306631060000001</v>
          </cell>
          <cell r="I42">
            <v>11.410648589999999</v>
          </cell>
          <cell r="J42">
            <v>11.47588429</v>
          </cell>
          <cell r="K42">
            <v>11.56341836</v>
          </cell>
          <cell r="L42">
            <v>11.71816615</v>
          </cell>
          <cell r="M42">
            <v>11.96266151</v>
          </cell>
          <cell r="N42">
            <v>1988</v>
          </cell>
        </row>
        <row r="43">
          <cell r="A43">
            <v>1989</v>
          </cell>
          <cell r="B43">
            <v>12.25550187</v>
          </cell>
          <cell r="C43">
            <v>12.421815779999999</v>
          </cell>
          <cell r="D43">
            <v>12.55647592</v>
          </cell>
          <cell r="E43">
            <v>12.744254339999999</v>
          </cell>
          <cell r="F43">
            <v>12.91966878</v>
          </cell>
          <cell r="G43">
            <v>13.07657465</v>
          </cell>
          <cell r="H43">
            <v>13.20737849</v>
          </cell>
          <cell r="I43">
            <v>13.333204050000001</v>
          </cell>
          <cell r="J43">
            <v>13.460719510000001</v>
          </cell>
          <cell r="K43">
            <v>13.65979533</v>
          </cell>
          <cell r="L43">
            <v>13.85153255</v>
          </cell>
          <cell r="M43">
            <v>14.319000580000001</v>
          </cell>
          <cell r="N43">
            <v>1989</v>
          </cell>
        </row>
        <row r="44">
          <cell r="A44">
            <v>1990</v>
          </cell>
          <cell r="B44">
            <v>15.01006183</v>
          </cell>
          <cell r="C44">
            <v>15.34995346</v>
          </cell>
          <cell r="D44">
            <v>15.620561929999999</v>
          </cell>
          <cell r="E44">
            <v>15.858300460000001</v>
          </cell>
          <cell r="F44">
            <v>16.135039670000001</v>
          </cell>
          <cell r="G44">
            <v>16.490409119999999</v>
          </cell>
          <cell r="H44">
            <v>16.791142149999999</v>
          </cell>
          <cell r="I44">
            <v>17.077242300000002</v>
          </cell>
          <cell r="J44">
            <v>17.320673849999999</v>
          </cell>
          <cell r="K44">
            <v>17.569679310000001</v>
          </cell>
          <cell r="L44">
            <v>18.036161100000001</v>
          </cell>
          <cell r="M44">
            <v>18.604615920000001</v>
          </cell>
          <cell r="N44">
            <v>1990</v>
          </cell>
        </row>
        <row r="45">
          <cell r="A45">
            <v>1991</v>
          </cell>
          <cell r="B45">
            <v>19.07882416</v>
          </cell>
          <cell r="C45">
            <v>19.411886930000001</v>
          </cell>
          <cell r="D45">
            <v>19.688720329999999</v>
          </cell>
          <cell r="E45">
            <v>19.89496853</v>
          </cell>
          <cell r="F45">
            <v>20.08945391</v>
          </cell>
          <cell r="G45">
            <v>20.30025376</v>
          </cell>
          <cell r="H45">
            <v>20.479649169999998</v>
          </cell>
          <cell r="I45">
            <v>20.622179809999999</v>
          </cell>
          <cell r="J45">
            <v>20.827616299999999</v>
          </cell>
          <cell r="K45">
            <v>21.06985384</v>
          </cell>
          <cell r="L45">
            <v>21.593024870000001</v>
          </cell>
          <cell r="M45">
            <v>22.101283219999999</v>
          </cell>
          <cell r="N45">
            <v>1991</v>
          </cell>
        </row>
        <row r="46">
          <cell r="A46">
            <v>1992</v>
          </cell>
          <cell r="B46">
            <v>22.502975330000002</v>
          </cell>
          <cell r="C46">
            <v>22.769591760000001</v>
          </cell>
          <cell r="D46">
            <v>23.001318680000001</v>
          </cell>
          <cell r="E46">
            <v>23.206361780000002</v>
          </cell>
          <cell r="F46">
            <v>23.35936981</v>
          </cell>
          <cell r="G46">
            <v>23.517475229999999</v>
          </cell>
          <cell r="H46">
            <v>23.66596762</v>
          </cell>
          <cell r="I46">
            <v>23.81135724</v>
          </cell>
          <cell r="J46">
            <v>24.0184864</v>
          </cell>
          <cell r="K46">
            <v>24.191435250000001</v>
          </cell>
          <cell r="L46">
            <v>24.392430910000002</v>
          </cell>
          <cell r="M46">
            <v>24.73975532</v>
          </cell>
          <cell r="N46">
            <v>1992</v>
          </cell>
        </row>
        <row r="47">
          <cell r="A47">
            <v>1993</v>
          </cell>
          <cell r="B47">
            <v>25.050082</v>
          </cell>
          <cell r="C47">
            <v>25.254742799999999</v>
          </cell>
          <cell r="D47">
            <v>25.401924820000001</v>
          </cell>
          <cell r="E47">
            <v>25.548408720000001</v>
          </cell>
          <cell r="F47">
            <v>25.694449370000001</v>
          </cell>
          <cell r="G47">
            <v>25.838564640000001</v>
          </cell>
          <cell r="H47">
            <v>25.962733539999999</v>
          </cell>
          <cell r="I47">
            <v>26.101693220000001</v>
          </cell>
          <cell r="J47">
            <v>26.295009530000002</v>
          </cell>
          <cell r="K47">
            <v>26.402550919999999</v>
          </cell>
          <cell r="L47">
            <v>26.519004450000001</v>
          </cell>
          <cell r="M47">
            <v>26.721207969999998</v>
          </cell>
          <cell r="N47">
            <v>1993</v>
          </cell>
        </row>
        <row r="48">
          <cell r="A48">
            <v>1994</v>
          </cell>
          <cell r="B48">
            <v>26.928367609999999</v>
          </cell>
          <cell r="C48">
            <v>27.066864649999999</v>
          </cell>
          <cell r="D48">
            <v>27.206040420000001</v>
          </cell>
          <cell r="E48">
            <v>27.339282149999999</v>
          </cell>
          <cell r="F48">
            <v>27.471374189999999</v>
          </cell>
          <cell r="G48">
            <v>27.608835129999999</v>
          </cell>
          <cell r="H48">
            <v>27.731278119999999</v>
          </cell>
          <cell r="I48">
            <v>27.860530570000002</v>
          </cell>
          <cell r="J48">
            <v>28.058675560000001</v>
          </cell>
          <cell r="K48">
            <v>28.20597394</v>
          </cell>
          <cell r="L48">
            <v>28.35676016</v>
          </cell>
          <cell r="M48">
            <v>28.605466409999998</v>
          </cell>
          <cell r="N48">
            <v>1994</v>
          </cell>
        </row>
        <row r="49">
          <cell r="A49">
            <v>1995</v>
          </cell>
          <cell r="B49">
            <v>29.682160190000001</v>
          </cell>
          <cell r="C49">
            <v>30.940166439999999</v>
          </cell>
          <cell r="D49">
            <v>32.764123140000002</v>
          </cell>
          <cell r="E49">
            <v>35.374880879999999</v>
          </cell>
          <cell r="F49">
            <v>36.853405289999998</v>
          </cell>
          <cell r="G49">
            <v>38.023038049999997</v>
          </cell>
          <cell r="H49">
            <v>38.79817602</v>
          </cell>
          <cell r="I49">
            <v>39.441723369999998</v>
          </cell>
          <cell r="J49">
            <v>40.257585159999998</v>
          </cell>
          <cell r="K49">
            <v>41.085913429999998</v>
          </cell>
          <cell r="L49">
            <v>42.09902263</v>
          </cell>
          <cell r="M49">
            <v>43.470612350000003</v>
          </cell>
          <cell r="N49">
            <v>1995</v>
          </cell>
        </row>
        <row r="50">
          <cell r="A50">
            <v>1996</v>
          </cell>
          <cell r="B50">
            <v>45.033354760000002</v>
          </cell>
          <cell r="C50">
            <v>46.084417459999997</v>
          </cell>
          <cell r="D50">
            <v>47.098911809999997</v>
          </cell>
          <cell r="E50">
            <v>48.437811660000001</v>
          </cell>
          <cell r="F50">
            <v>49.320715409999998</v>
          </cell>
          <cell r="G50">
            <v>50.123833689999998</v>
          </cell>
          <cell r="H50">
            <v>50.836362229999999</v>
          </cell>
          <cell r="I50">
            <v>51.512045389999997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55.514062189999997</v>
          </cell>
          <cell r="N50">
            <v>1996</v>
          </cell>
        </row>
        <row r="51">
          <cell r="A51">
            <v>1997</v>
          </cell>
          <cell r="B51">
            <v>56.941612550000002</v>
          </cell>
          <cell r="C51">
            <v>57.898484080000003</v>
          </cell>
          <cell r="D51">
            <v>58.619046560000001</v>
          </cell>
          <cell r="E51">
            <v>59.252343699999997</v>
          </cell>
          <cell r="F51">
            <v>59.793111850000003</v>
          </cell>
          <cell r="G51">
            <v>60.323629799999999</v>
          </cell>
          <cell r="H51">
            <v>60.84916114</v>
          </cell>
          <cell r="I51">
            <v>61.390206329999998</v>
          </cell>
          <cell r="J51">
            <v>62.154817049999998</v>
          </cell>
          <cell r="K51">
            <v>62.651536980000003</v>
          </cell>
          <cell r="L51">
            <v>63.352430130000002</v>
          </cell>
          <cell r="M51">
            <v>64.240043439999994</v>
          </cell>
          <cell r="N51">
            <v>1997</v>
          </cell>
        </row>
        <row r="52">
          <cell r="A52">
            <v>1998</v>
          </cell>
          <cell r="B52">
            <v>65.637674250000003</v>
          </cell>
          <cell r="C52">
            <v>66.786806589999998</v>
          </cell>
          <cell r="D52">
            <v>67.569147400000006</v>
          </cell>
          <cell r="E52">
            <v>68.201336409999996</v>
          </cell>
          <cell r="F52">
            <v>68.744597859999999</v>
          </cell>
          <cell r="G52">
            <v>69.557135259999995</v>
          </cell>
          <cell r="H52">
            <v>70.22783183</v>
          </cell>
          <cell r="I52">
            <v>70.902960930000006</v>
          </cell>
          <cell r="J52">
            <v>72.052924360000006</v>
          </cell>
          <cell r="K52">
            <v>73.085425849999993</v>
          </cell>
          <cell r="L52">
            <v>74.379723409999997</v>
          </cell>
          <cell r="M52">
            <v>76.19456572</v>
          </cell>
          <cell r="N52">
            <v>1998</v>
          </cell>
        </row>
        <row r="53">
          <cell r="A53">
            <v>1999</v>
          </cell>
          <cell r="B53">
            <v>78.118558989999997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82.195097630000006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85.580716300000006</v>
          </cell>
          <cell r="N53">
            <v>1999</v>
          </cell>
        </row>
        <row r="54">
          <cell r="A54">
            <v>2000</v>
          </cell>
          <cell r="B54">
            <v>86.729848630000006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88.815629090000002</v>
          </cell>
          <cell r="G54">
            <v>89.341714499999995</v>
          </cell>
          <cell r="H54">
            <v>89.69022185</v>
          </cell>
          <cell r="I54">
            <v>90.183063320000002</v>
          </cell>
          <cell r="J54">
            <v>90.841847479999998</v>
          </cell>
          <cell r="K54">
            <v>91.467387689999995</v>
          </cell>
          <cell r="L54">
            <v>92.249451469999997</v>
          </cell>
          <cell r="M54">
            <v>93.248154959999994</v>
          </cell>
          <cell r="N54">
            <v>2000</v>
          </cell>
        </row>
        <row r="55">
          <cell r="A55">
            <v>2001</v>
          </cell>
          <cell r="B55">
            <v>93.765098289999997</v>
          </cell>
          <cell r="C55">
            <v>93.703042929999995</v>
          </cell>
          <cell r="D55">
            <v>94.296724359999999</v>
          </cell>
          <cell r="E55">
            <v>94.772389799999999</v>
          </cell>
          <cell r="F55">
            <v>94.9898606</v>
          </cell>
          <cell r="G55">
            <v>95.21453425</v>
          </cell>
          <cell r="H55">
            <v>94.967143899999996</v>
          </cell>
          <cell r="I55">
            <v>95.52979766</v>
          </cell>
          <cell r="J55">
            <v>96.419073159999996</v>
          </cell>
          <cell r="K55">
            <v>96.854845859999998</v>
          </cell>
          <cell r="L55">
            <v>97.219698140000006</v>
          </cell>
          <cell r="M55">
            <v>97.354336119999999</v>
          </cell>
          <cell r="N55">
            <v>2001</v>
          </cell>
        </row>
        <row r="56">
          <cell r="A56">
            <v>2002</v>
          </cell>
          <cell r="B56">
            <v>98.25303074</v>
          </cell>
          <cell r="C56">
            <v>98.189867250000006</v>
          </cell>
          <cell r="D56">
            <v>98.692127830000004</v>
          </cell>
          <cell r="E56">
            <v>99.231233790000005</v>
          </cell>
          <cell r="F56">
            <v>99.432359660000003</v>
          </cell>
          <cell r="G56">
            <v>99.917167169999999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  <cell r="N56">
            <v>2002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  <cell r="N57">
            <v>2003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  <cell r="N58">
            <v>2004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  <cell r="N59">
            <v>2005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  <cell r="I60">
            <v>117.979</v>
          </cell>
          <cell r="J60">
            <v>119.17</v>
          </cell>
          <cell r="K60">
            <v>119.691</v>
          </cell>
          <cell r="L60">
            <v>120.319</v>
          </cell>
          <cell r="M60">
            <v>121.015</v>
          </cell>
          <cell r="N60">
            <v>2006</v>
          </cell>
        </row>
        <row r="61">
          <cell r="A61">
            <v>2007</v>
          </cell>
          <cell r="B61">
            <v>121.64</v>
          </cell>
          <cell r="C61">
            <v>121.98</v>
          </cell>
          <cell r="D61">
            <v>122.244</v>
          </cell>
          <cell r="E61">
            <v>122.17100000000001</v>
          </cell>
          <cell r="F61">
            <v>121.575</v>
          </cell>
          <cell r="G61">
            <v>121.721</v>
          </cell>
          <cell r="H61">
            <v>122.238</v>
          </cell>
          <cell r="I61">
            <v>122.736</v>
          </cell>
          <cell r="J61">
            <v>123.68899999999999</v>
          </cell>
          <cell r="K61">
            <v>124.17100000000001</v>
          </cell>
          <cell r="L61">
            <v>125.047</v>
          </cell>
          <cell r="M61">
            <v>125.56399999999999</v>
          </cell>
          <cell r="N61">
            <v>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ción mensual irapuato"/>
    </sheetNames>
    <definedNames>
      <definedName name="AuditoríaAl"/>
      <definedName name="Empresa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dula movimientos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  <sheetName val="TACHI CAL ANU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USD"/>
      <sheetName val="CASH CHF"/>
      <sheetName val="CASH EURO"/>
      <sheetName val="CASH GBP"/>
      <sheetName val="CASH HKD"/>
      <sheetName val="CASH JPY"/>
      <sheetName val="CASH AUD"/>
      <sheetName val="BONO-XS0427926752"/>
      <sheetName val="BONO-XS0412443052"/>
      <sheetName val="BONO-XS0371500611"/>
      <sheetName val="5 34% Q-CELLS INTERNATIONAL"/>
      <sheetName val="BONO- XS0410299357"/>
      <sheetName val="BONO- XS0162867880"/>
      <sheetName val="BONO- XSO171786287"/>
      <sheetName val="BONO- DE000AOZ2CS9"/>
      <sheetName val="BONO- XS0202649934"/>
      <sheetName val="BONO- XS0218734118"/>
      <sheetName val="BONO- XS0222766973"/>
      <sheetName val="BONO- FR0010709279"/>
      <sheetName val="BONO- DE000A0T5X07"/>
      <sheetName val="BONO-XS0138137285"/>
      <sheetName val="BONO-XS0149049560"/>
      <sheetName val="BONO-XS0357123131"/>
      <sheetName val="BONO-XS0126163764"/>
      <sheetName val="BONO-XS0123544529"/>
      <sheetName val="BONO-XS02384064"/>
      <sheetName val="BONO-USF2893TAA46"/>
      <sheetName val="BONO-US465410BN76"/>
      <sheetName val="BONO-US748148RR64"/>
      <sheetName val="BONO-US87927VAW81"/>
      <sheetName val="BONO-XS0247659542"/>
      <sheetName val="BONO-US05567LD954"/>
      <sheetName val="BONO-LU0340002475"/>
      <sheetName val="BONO-LU0417723953"/>
      <sheetName val="BONO-LU0439682898"/>
      <sheetName val="BONO-LU0366392370 (2)"/>
      <sheetName val="BONO-BEAR CERTIFICATES"/>
      <sheetName val="VENTA BONOS"/>
      <sheetName val="DIVIDENDOS"/>
      <sheetName val="ACCIONES"/>
      <sheetName val="TC EURO"/>
      <sheetName val="TC CHF"/>
      <sheetName val="TC HKD"/>
      <sheetName val="TC JPY"/>
      <sheetName val="TC GBP"/>
      <sheetName val="TC AUD"/>
      <sheetName val="TC09"/>
      <sheetName val="INPC"/>
      <sheetName val="Chart of Account P&amp;L"/>
    </sheetNames>
    <sheetDataSet>
      <sheetData sheetId="0">
        <row r="9">
          <cell r="Q9" t="str">
            <v>ENERO</v>
          </cell>
        </row>
      </sheetData>
      <sheetData sheetId="1">
        <row r="9">
          <cell r="Q9" t="str">
            <v>ENERO</v>
          </cell>
        </row>
      </sheetData>
      <sheetData sheetId="2">
        <row r="9">
          <cell r="Q9" t="str">
            <v>ENERO</v>
          </cell>
        </row>
      </sheetData>
      <sheetData sheetId="3">
        <row r="9">
          <cell r="Q9" t="str">
            <v>ENERO</v>
          </cell>
        </row>
      </sheetData>
      <sheetData sheetId="4">
        <row r="9">
          <cell r="Q9" t="str">
            <v>ENERO</v>
          </cell>
        </row>
      </sheetData>
      <sheetData sheetId="5">
        <row r="9">
          <cell r="Q9" t="str">
            <v>ENERO</v>
          </cell>
        </row>
      </sheetData>
      <sheetData sheetId="6">
        <row r="9">
          <cell r="Q9" t="str">
            <v>ENERO</v>
          </cell>
        </row>
      </sheetData>
      <sheetData sheetId="7">
        <row r="9">
          <cell r="Q9" t="str">
            <v>ENERO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Q9" t="str">
            <v>ENERO</v>
          </cell>
        </row>
      </sheetData>
      <sheetData sheetId="34">
        <row r="9">
          <cell r="Q9" t="str">
            <v>ENERO</v>
          </cell>
        </row>
      </sheetData>
      <sheetData sheetId="35">
        <row r="9">
          <cell r="Q9" t="str">
            <v>ENERO</v>
          </cell>
        </row>
      </sheetData>
      <sheetData sheetId="36">
        <row r="9">
          <cell r="Q9" t="str">
            <v>ENERO</v>
          </cell>
        </row>
      </sheetData>
      <sheetData sheetId="37">
        <row r="9">
          <cell r="Q9" t="str">
            <v>ENERO</v>
          </cell>
        </row>
      </sheetData>
      <sheetData sheetId="38">
        <row r="9">
          <cell r="Q9" t="str">
            <v>ENERO</v>
          </cell>
        </row>
      </sheetData>
      <sheetData sheetId="39">
        <row r="9">
          <cell r="Q9" t="str">
            <v>ENERO</v>
          </cell>
        </row>
      </sheetData>
      <sheetData sheetId="40">
        <row r="9">
          <cell r="Q9" t="str">
            <v>ENERO</v>
          </cell>
        </row>
      </sheetData>
      <sheetData sheetId="41">
        <row r="9">
          <cell r="Q9" t="str">
            <v>ENERO</v>
          </cell>
        </row>
      </sheetData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"/>
      <sheetName val="CUFIN"/>
      <sheetName val="PONDERACIONES"/>
      <sheetName val="TENENCIA"/>
      <sheetName val="CONISR"/>
      <sheetName val="BALANCE"/>
      <sheetName val="ER"/>
      <sheetName val="CIMSA"/>
      <sheetName val="C S F"/>
      <sheetName val="I F"/>
      <sheetName val="MC"/>
      <sheetName val="MCP"/>
      <sheetName val="ML "/>
      <sheetName val="M M "/>
      <sheetName val="M M A"/>
      <sheetName val="MRA"/>
      <sheetName val="M S F O"/>
      <sheetName val="M T"/>
      <sheetName val="M Z"/>
      <sheetName val="SCF"/>
      <sheetName val="S S G"/>
      <sheetName val="I C"/>
      <sheetName val="Pedidos"/>
      <sheetName val="Parametros"/>
    </sheetNames>
    <sheetDataSet>
      <sheetData sheetId="0">
        <row r="4">
          <cell r="A4">
            <v>1950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INGRESOS-GASTOS"/>
      <sheetName val="EDOS FINAN"/>
      <sheetName val="COMPIN"/>
      <sheetName val="SALPROM"/>
      <sheetName val="BANCOS ISR"/>
      <sheetName val="DEDUC DE INV"/>
      <sheetName val="CTO. VTAS."/>
      <sheetName val="FLUCT CAMB"/>
      <sheetName val="PERDIDA"/>
      <sheetName val="IMPAC"/>
      <sheetName val="BANCOS IMPAC"/>
      <sheetName val="IVA"/>
      <sheetName val="PARTES RELACIONADAS"/>
      <sheetName val="SUELDOS"/>
      <sheetName val="Conciliación Contable-Fiscal"/>
      <sheetName val="Ajuste por inflación"/>
      <sheetName val="BALANZAS"/>
      <sheetName val="DECLARACION"/>
      <sheetName val="Dep'n Fiscal"/>
      <sheetName val="Hoja3"/>
      <sheetName val="repomo"/>
      <sheetName val="act inv"/>
      <sheetName val="b10 res"/>
      <sheetName val="Tickmarks"/>
      <sheetName val="inpc"/>
      <sheetName val="CTA 107"/>
      <sheetName val="INV DIC AUD"/>
      <sheetName val="cc"/>
      <sheetName val="PP BANCOMER"/>
      <sheetName val="conta001.13757"/>
      <sheetName val="CLAVES"/>
      <sheetName val="ESTANDAR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  <sheetName val="DIF. EN CUFIN"/>
    </sheetNames>
    <sheetDataSet>
      <sheetData sheetId="0">
        <row r="12">
          <cell r="B12">
            <v>0.01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DIF MARZO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ATOS "/>
      <sheetName val="CTO. PROMEDIO X ACCION"/>
      <sheetName val="Sumarias"/>
      <sheetName val="Costo Adq CORTES"/>
      <sheetName val="SEGUNDO AJUSTE "/>
      <sheetName val="DIF. EN CUFIN"/>
      <sheetName val="CUFIN"/>
      <sheetName val="CUFINRE"/>
      <sheetName val="Ufin"/>
      <sheetName val="UFINRE"/>
      <sheetName val="UFIRE"/>
      <sheetName val="Tenencia"/>
      <sheetName val="ASIGNACION PERDIDAS"/>
      <sheetName val="PERDIDAS"/>
      <sheetName val="PERDIDAS AMORTIZADAS "/>
      <sheetName val="Diferencia 4° Parrafo"/>
      <sheetName val="PARR 3 FRACC. III"/>
      <sheetName val="CUFIN CONSOLIDADO"/>
    </sheetNames>
    <sheetDataSet>
      <sheetData sheetId="0">
        <row r="4">
          <cell r="A4">
            <v>1950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>
        <row r="48">
          <cell r="B48">
            <v>36525</v>
          </cell>
        </row>
      </sheetData>
      <sheetData sheetId="8">
        <row r="28">
          <cell r="B28">
            <v>36496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JUN03"/>
      <sheetName val="JUL03"/>
      <sheetName val="AGO03"/>
      <sheetName val="SEP03"/>
      <sheetName val="CUFINRE"/>
      <sheetName val="INPC"/>
      <sheetName val="CUFIN"/>
    </sheetNames>
    <sheetDataSet>
      <sheetData sheetId="0">
        <row r="20">
          <cell r="G20">
            <v>96200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MZO"/>
      <sheetName val="AFABR"/>
      <sheetName val="AFMAY"/>
      <sheetName val="AFJUN"/>
      <sheetName val="AFJUL"/>
      <sheetName val="AFAGO"/>
      <sheetName val="AFSEP"/>
      <sheetName val="AFOCT"/>
      <sheetName val="AFNOV"/>
      <sheetName val="AFDIC"/>
      <sheetName val="cedula movimientos"/>
      <sheetName val="depreciación mensual contable"/>
      <sheetName val="B-10 ACTIVO FIJO"/>
      <sheetName val="b-10 baj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0">
          <cell r="G30">
            <v>3488622.3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VTASMMEXICO"/>
      <sheetName val="VTASACUMMMEXICO"/>
      <sheetName val="VTASACUMGMEXICO"/>
      <sheetName val="VTASMENSMMEXICO"/>
      <sheetName val="VTASMENSGMEXICO"/>
      <sheetName val="RVTASGMEXICO"/>
      <sheetName val="RGMEXICO"/>
      <sheetName val="TRIMESTREGMEXICO"/>
      <sheetName val="RMINERAMEXICO"/>
      <sheetName val="TRIMESTREMINERAMEXICO"/>
      <sheetName val="RFRAESTRUCTU"/>
      <sheetName val="RGFFCC"/>
      <sheetName val="DETALLEIMPUESTOS"/>
      <sheetName val="HISTORICORESULTADO"/>
      <sheetName val="cedula movimi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IMPUESTOS"/>
      <sheetName val="RGFFCC"/>
      <sheetName val="TRIMESTREGMEXICO"/>
      <sheetName val="TRIMESTREMINERAMEXIC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 EN CUFIN CIA"/>
      <sheetName val="PPA SOCIEDAD"/>
      <sheetName val="TENENCIA"/>
      <sheetName val="UFI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-9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RESAS QUE CONSOLIDAN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ERTIFICATE UBS AG LONDON "/>
      <sheetName val="5 1-4% HSBC HOLDINGS PLC"/>
      <sheetName val="6 1-4% HUTCHISON WHAMPOA INT "/>
      <sheetName val="9 1-4% CFG INVESTMENTS S A C"/>
      <sheetName val="8 5-8% NOTES VITRO SAB DE CV"/>
      <sheetName val="4 1-8%EURO MEDIUM COMMONWEALTH"/>
      <sheetName val="6 7-8% EURO MEDIUM BANCO BMG "/>
      <sheetName val="4% TELECOM ITALIA CAPITAL LTD"/>
      <sheetName val="4% MEDIUM-TERM NOTES HBOS PLC"/>
      <sheetName val="4% MORGAN STANLEY"/>
      <sheetName val="5.15125% UKRAINE "/>
      <sheetName val="UBS DAILY ACCRUAL BILL USD"/>
      <sheetName val="DAILY CASH"/>
      <sheetName val="Cálculo ISR"/>
      <sheetName val="Dividendos"/>
      <sheetName val="Intereses"/>
      <sheetName val="Ganancia cambiaria"/>
      <sheetName val="Ajuste anual"/>
      <sheetName val="Enajenación"/>
      <sheetName val="Costos"/>
      <sheetName val="Ventas"/>
      <sheetName val="Comisiones"/>
      <sheetName val="Equivalencias"/>
      <sheetName val="Tipo de cambio"/>
      <sheetName val="INPC"/>
      <sheetName val="2014"/>
      <sheetName val="2013"/>
      <sheetName val="2012"/>
      <sheetName val="2011"/>
      <sheetName val="2010"/>
      <sheetName val="2009"/>
      <sheetName val="2008"/>
      <sheetName val="Cálculo ISR SOLO VTA BONOS"/>
      <sheetName val="ENERO"/>
      <sheetName val="FEBRERO"/>
      <sheetName val="MARZO"/>
      <sheetName val="SEPTIEMBRE"/>
    </sheetNames>
    <sheetDataSet>
      <sheetData sheetId="0">
        <row r="8">
          <cell r="B8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X4" t="str">
            <v>EUR</v>
          </cell>
        </row>
      </sheetData>
      <sheetData sheetId="23">
        <row r="4">
          <cell r="BX4" t="str">
            <v>EUR</v>
          </cell>
        </row>
      </sheetData>
      <sheetData sheetId="24">
        <row r="5">
          <cell r="BX5">
            <v>0</v>
          </cell>
        </row>
      </sheetData>
      <sheetData sheetId="25">
        <row r="64">
          <cell r="D64">
            <v>97.823643397488993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álculo ISR"/>
      <sheetName val="Dividendos"/>
      <sheetName val="Intereses"/>
      <sheetName val="Ganancia cambiaria"/>
      <sheetName val="Ajuste anual"/>
      <sheetName val="Enajenación"/>
      <sheetName val="Ventas"/>
      <sheetName val="Costos"/>
      <sheetName val="Comisiones"/>
      <sheetName val="Equivalencias"/>
      <sheetName val="Tipo de cambio"/>
      <sheetName val="IN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I4" t="str">
            <v>EUR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umaria Interna"/>
      <sheetName val="Sumaria DECLARASAT"/>
      <sheetName val="Sumaria"/>
      <sheetName val="Int. Pagados"/>
      <sheetName val="Int. Devengados"/>
      <sheetName val="Resumen"/>
      <sheetName val="Acciones"/>
      <sheetName val="Dividendos"/>
      <sheetName val="Cash &amp; Sec. USD (163-28F68)"/>
      <sheetName val="Cash &amp; Sec. USD (163-28G46)"/>
      <sheetName val="Cash &amp; Sec. USD (163-28F68) (2)"/>
      <sheetName val="Cash &amp; Sec. EUR (917-12MS9)"/>
      <sheetName val="Cash &amp; Sec. MXP (91D-12MD7)"/>
      <sheetName val="CEMEX FINANCE LLC"/>
      <sheetName val="USD PETROLEOS DE VEN"/>
      <sheetName val="MX CETES (Oct-20-2011) "/>
      <sheetName val="MX CETES (Nov-10-2011)"/>
      <sheetName val="MX CETES (Dic-8-2011)"/>
      <sheetName val="MX CETES (Jan-12-2012)"/>
      <sheetName val="EUROS 2011"/>
      <sheetName val="TC USD"/>
      <sheetName val="INPC"/>
      <sheetName val="SIC"/>
      <sheetName val="Cash &amp; Securities USD "/>
      <sheetName val="Cash &amp; Securities EURO"/>
      <sheetName val="Cash &amp; Securities MXP"/>
      <sheetName val="INT Pagados"/>
      <sheetName val="CONTROLADORA MABE"/>
      <sheetName val="MEXICHEMSAB SAB CV"/>
      <sheetName val="C8 CAPITAL SPV"/>
      <sheetName val="CIT GROUP INC"/>
      <sheetName val="CEMEX CLN"/>
      <sheetName val="MX CETES (MXBIGO000AN7)"/>
      <sheetName val="MX CETES (MXBIGO000BC8)"/>
      <sheetName val="MX CETES (MXBIGO000B49)"/>
      <sheetName val="MX CETES (MXBIGO000BM7)"/>
      <sheetName val="Notas Estructuradas"/>
      <sheetName val="Nota Est - Español 1"/>
      <sheetName val="Nota Est - Español 2"/>
      <sheetName val="Nota Est - Español 3"/>
      <sheetName val="Nota Est - Español 4"/>
      <sheetName val="Nota Est - Inglés 1"/>
      <sheetName val="Nota Est - Inglés 2"/>
      <sheetName val="Nota Est - Inglés 3"/>
      <sheetName val="Nota Est - Inglés 4"/>
      <sheetName val="Nota Est - Inglés 5"/>
      <sheetName val="Derivados"/>
      <sheetName val="Equival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A6" t="str">
            <v>DIA</v>
          </cell>
        </row>
      </sheetData>
      <sheetData sheetId="21"/>
      <sheetData sheetId="22">
        <row r="54">
          <cell r="A54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A4" t="str">
            <v>DIA</v>
          </cell>
        </row>
      </sheetData>
      <sheetData sheetId="35">
        <row r="54">
          <cell r="A54">
            <v>2000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Intereses"/>
      <sheetName val="Dividendos"/>
      <sheetName val="Comisiones"/>
      <sheetName val="AAXI "/>
      <sheetName val="Retenciones"/>
      <sheetName val="Blue Forest"/>
      <sheetName val="Bonos"/>
      <sheetName val="OFDs"/>
      <sheetName val="VENTA ACCIONES USD"/>
      <sheetName val="T.C. USD 2021"/>
      <sheetName val="T.C. USD 2020"/>
      <sheetName val="T.C. USD 2019"/>
      <sheetName val="INPC 2018"/>
      <sheetName val="T.C. USD 2018."/>
      <sheetName val="Equivalencia divisas USD"/>
      <sheetName val="INPC 2010"/>
      <sheetName val="T.C. 20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>
        <row r="3">
          <cell r="A3" t="str">
            <v>Divisa</v>
          </cell>
          <cell r="B3">
            <v>43101</v>
          </cell>
          <cell r="C3">
            <v>43132</v>
          </cell>
          <cell r="D3">
            <v>43160</v>
          </cell>
          <cell r="E3">
            <v>43191</v>
          </cell>
          <cell r="F3">
            <v>43221</v>
          </cell>
          <cell r="G3">
            <v>43252</v>
          </cell>
          <cell r="H3">
            <v>43282</v>
          </cell>
          <cell r="I3">
            <v>43313</v>
          </cell>
          <cell r="J3">
            <v>43344</v>
          </cell>
          <cell r="K3">
            <v>43374</v>
          </cell>
          <cell r="L3">
            <v>43405</v>
          </cell>
          <cell r="M3">
            <v>43435</v>
          </cell>
        </row>
        <row r="4">
          <cell r="A4" t="str">
            <v>EUR</v>
          </cell>
          <cell r="B4">
            <v>1.2459</v>
          </cell>
          <cell r="C4">
            <v>1.2198500000000001</v>
          </cell>
          <cell r="D4">
            <v>1.2350000000000001</v>
          </cell>
          <cell r="E4">
            <v>1.2080500000000001</v>
          </cell>
          <cell r="F4">
            <v>1.1673500000000001</v>
          </cell>
          <cell r="G4">
            <v>1.1674500000000001</v>
          </cell>
          <cell r="H4">
            <v>1.17015</v>
          </cell>
          <cell r="I4">
            <v>1.1636500000000001</v>
          </cell>
          <cell r="J4">
            <v>1.1613</v>
          </cell>
          <cell r="K4">
            <v>1.1318999999999999</v>
          </cell>
          <cell r="L4">
            <v>1.13235</v>
          </cell>
          <cell r="M4">
            <v>1.1434</v>
          </cell>
        </row>
        <row r="5">
          <cell r="A5" t="str">
            <v>GBP</v>
          </cell>
          <cell r="B5">
            <v>1.4212</v>
          </cell>
          <cell r="C5">
            <v>1.37805</v>
          </cell>
          <cell r="D5">
            <v>1.4100999999999999</v>
          </cell>
          <cell r="E5">
            <v>1.3773</v>
          </cell>
          <cell r="F5">
            <v>1.3311999999999999</v>
          </cell>
          <cell r="G5">
            <v>1.3202499999999999</v>
          </cell>
          <cell r="H5">
            <v>1.31155</v>
          </cell>
          <cell r="I5">
            <v>1.2998000000000001</v>
          </cell>
          <cell r="J5">
            <v>1.3038000000000001</v>
          </cell>
          <cell r="K5">
            <v>1.27685</v>
          </cell>
          <cell r="L5">
            <v>1.27545</v>
          </cell>
          <cell r="M5">
            <v>1.2746</v>
          </cell>
        </row>
        <row r="6">
          <cell r="A6" t="str">
            <v>CHF</v>
          </cell>
          <cell r="B6">
            <v>1.0757000000000001</v>
          </cell>
          <cell r="C6">
            <v>1.0585</v>
          </cell>
          <cell r="D6">
            <v>1.0485</v>
          </cell>
          <cell r="E6">
            <v>1.0098</v>
          </cell>
          <cell r="F6">
            <v>1.0169999999999999</v>
          </cell>
          <cell r="G6">
            <v>1.0072000000000001</v>
          </cell>
          <cell r="H6">
            <v>1.0104</v>
          </cell>
          <cell r="I6">
            <v>1.0343</v>
          </cell>
          <cell r="J6">
            <v>1.0236000000000001</v>
          </cell>
          <cell r="K6">
            <v>0.99450000000000005</v>
          </cell>
          <cell r="L6">
            <v>1.0011000000000001</v>
          </cell>
          <cell r="M6">
            <v>1.0148999999999999</v>
          </cell>
        </row>
      </sheetData>
      <sheetData sheetId="18" refreshError="1"/>
      <sheetData sheetId="1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EUROS 2011"/>
      <sheetName val="TC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rre Global"/>
      <sheetName val="Integracion Cap Contable CIL "/>
      <sheetName val=" DEP 2001"/>
      <sheetName val="DEP 2000"/>
      <sheetName val="DEP 1999"/>
      <sheetName val="repomo y 3ras 2000"/>
      <sheetName val="repomo y 3ras 2001"/>
      <sheetName val=" Cap Cont"/>
      <sheetName val="EQ.OFICINA"/>
      <sheetName val="EQ.COMPUTO"/>
      <sheetName val="MEJORAS EDIF."/>
      <sheetName val="GTOS.PREOPER."/>
      <sheetName val="Depreciacion Fiscal 2001"/>
      <sheetName val="Ajuste B10"/>
      <sheetName val="Capital y AF"/>
      <sheetName val="3ras y Repomo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CT CAPITAL"/>
      <sheetName val="REPOMO Y 3er DOCTO"/>
      <sheetName val="INPC"/>
      <sheetName val="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2000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10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7(DD-40)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COMPINFL"/>
      <sheetName val="Pago provisional"/>
      <sheetName val="AUXILIAR"/>
      <sheetName val="PUT, CALLL 2"/>
      <sheetName val="AUXILIAR COMPRA VENTA PUT, CALL"/>
      <sheetName val="AUXILIAR FORWARD"/>
      <sheetName val="FORWARD"/>
      <sheetName val="AUXILIAR 2"/>
      <sheetName val="ACCIONES"/>
      <sheetName val="AUXILIAR COMRAS ACCIONES"/>
      <sheetName val="Acciones 14786"/>
      <sheetName val="DIVIDENDOS"/>
      <sheetName val="SALDOPROM"/>
      <sheetName val="U-P CAMBIARIA"/>
      <sheetName val="PROMEDIOS "/>
      <sheetName val="Hoja1"/>
      <sheetName val="GANANCIA OPCION"/>
      <sheetName val="RESUMEN"/>
      <sheetName val="DEDUCCIONES"/>
      <sheetName val="INGRESOS"/>
      <sheetName val="DIVIDEND"/>
      <sheetName val="ANUAL"/>
      <sheetName val="ISSQN1"/>
      <sheetName val="S.D.I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UFIN-UFINRE"/>
      <sheetName val="CUFIN"/>
      <sheetName val="CUFINRE"/>
      <sheetName val="DIF. EN CUFIN Y CUFINRE"/>
      <sheetName val="2o. AJUSTE CUFIN-CUFINRE"/>
      <sheetName val="PRIMER AJUSTE"/>
      <sheetName val="SUMARIA"/>
      <sheetName val="GTOS"/>
      <sheetName val=" SSB 142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</sheetNames>
    <sheetDataSet>
      <sheetData sheetId="0" refreshError="1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PC"/>
      <sheetName val="TENENCIA"/>
      <sheetName val="COSTO ADQ"/>
      <sheetName val="UFINRE"/>
      <sheetName val="CUFINRE"/>
      <sheetName val="DIFERENCIALES DE CUFINRE"/>
      <sheetName val="UFIN"/>
      <sheetName val="CUFIN"/>
      <sheetName val="DIFERENCIALES CUFIN"/>
      <sheetName val="PERDIDAS (2)"/>
      <sheetName val="REEMBOLSOS"/>
      <sheetName val="SUMARIAFINAL"/>
      <sheetName val="DIF 4° PARRAFO"/>
    </sheetNames>
    <sheetDataSet>
      <sheetData sheetId="0" refreshError="1"/>
      <sheetData sheetId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</sheetData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USD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Acciones USD"/>
      <sheetName val="INPC"/>
      <sheetName val="TC 2005"/>
      <sheetName val="TC 2006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 refreshError="1">
        <row r="3">
          <cell r="B3" t="str">
            <v>ENE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</row>
      </sheetData>
      <sheetData sheetId="4"/>
      <sheetData sheetId="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CASH MXN"/>
      <sheetName val="CASH USD"/>
      <sheetName val="CASH EUR"/>
      <sheetName val="CASH GBP"/>
      <sheetName val="CASH DKK"/>
      <sheetName val="CASH CHF"/>
      <sheetName val="OFDs"/>
      <sheetName val="Intereses USD"/>
      <sheetName val="Dividendos"/>
      <sheetName val="AAXI y G.P. TC "/>
      <sheetName val="Green Forest"/>
      <sheetName val="Enaj. Bonos USD"/>
      <sheetName val="Venta de acciones"/>
      <sheetName val="Otros"/>
      <sheetName val="Comisiones"/>
      <sheetName val="T.C. 2017-2018"/>
      <sheetName val="INPC 2018"/>
      <sheetName val="T.C. USD 2020"/>
      <sheetName val="T.C. USD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1969</v>
          </cell>
          <cell r="B4">
            <v>1.1594999999999999E-2</v>
          </cell>
          <cell r="C4">
            <v>1.1636000000000001E-2</v>
          </cell>
          <cell r="D4">
            <v>1.1648E-2</v>
          </cell>
          <cell r="E4">
            <v>1.1679999999999999E-2</v>
          </cell>
          <cell r="F4">
            <v>1.1679999999999999E-2</v>
          </cell>
          <cell r="G4">
            <v>1.1721000000000001E-2</v>
          </cell>
          <cell r="H4">
            <v>1.1766E-2</v>
          </cell>
          <cell r="I4">
            <v>1.1779E-2</v>
          </cell>
          <cell r="J4">
            <v>1.1889E-2</v>
          </cell>
          <cell r="K4">
            <v>1.2014E-2</v>
          </cell>
          <cell r="L4">
            <v>1.2015E-2</v>
          </cell>
          <cell r="M4">
            <v>1.2106E-2</v>
          </cell>
          <cell r="N4">
            <v>1969</v>
          </cell>
        </row>
        <row r="5">
          <cell r="A5">
            <v>1970</v>
          </cell>
          <cell r="B5">
            <v>1.2198000000000001E-2</v>
          </cell>
          <cell r="C5">
            <v>1.2196E-2</v>
          </cell>
          <cell r="D5">
            <v>1.2232E-2</v>
          </cell>
          <cell r="E5">
            <v>1.2248E-2</v>
          </cell>
          <cell r="F5">
            <v>1.2274E-2</v>
          </cell>
          <cell r="G5">
            <v>1.2348E-2</v>
          </cell>
          <cell r="H5">
            <v>1.2409E-2</v>
          </cell>
          <cell r="I5">
            <v>1.2466E-2</v>
          </cell>
          <cell r="J5">
            <v>1.2496E-2</v>
          </cell>
          <cell r="K5">
            <v>1.2500000000000001E-2</v>
          </cell>
          <cell r="L5">
            <v>1.2567999999999999E-2</v>
          </cell>
          <cell r="M5">
            <v>1.2674E-2</v>
          </cell>
          <cell r="N5">
            <v>1970</v>
          </cell>
        </row>
        <row r="6">
          <cell r="A6">
            <v>1971</v>
          </cell>
          <cell r="B6">
            <v>1.2799E-2</v>
          </cell>
          <cell r="C6">
            <v>1.2852000000000001E-2</v>
          </cell>
          <cell r="D6">
            <v>1.2900999999999999E-2</v>
          </cell>
          <cell r="E6">
            <v>1.2966999999999999E-2</v>
          </cell>
          <cell r="F6">
            <v>1.2994E-2</v>
          </cell>
          <cell r="G6">
            <v>1.3053E-2</v>
          </cell>
          <cell r="H6">
            <v>1.3043000000000001E-2</v>
          </cell>
          <cell r="I6">
            <v>1.3162E-2</v>
          </cell>
          <cell r="J6">
            <v>1.3205E-2</v>
          </cell>
          <cell r="K6">
            <v>1.3218000000000001E-2</v>
          </cell>
          <cell r="L6">
            <v>1.324E-2</v>
          </cell>
          <cell r="M6">
            <v>1.3303000000000001E-2</v>
          </cell>
          <cell r="N6">
            <v>1971</v>
          </cell>
        </row>
        <row r="7">
          <cell r="A7">
            <v>1972</v>
          </cell>
          <cell r="B7">
            <v>1.3362000000000001E-2</v>
          </cell>
          <cell r="C7">
            <v>1.3403E-2</v>
          </cell>
          <cell r="D7">
            <v>1.3476E-2</v>
          </cell>
          <cell r="E7">
            <v>1.3561E-2</v>
          </cell>
          <cell r="F7">
            <v>1.3587999999999999E-2</v>
          </cell>
          <cell r="G7">
            <v>1.3689E-2</v>
          </cell>
          <cell r="H7">
            <v>1.374E-2</v>
          </cell>
          <cell r="I7">
            <v>1.3831E-2</v>
          </cell>
          <cell r="J7">
            <v>1.3894E-2</v>
          </cell>
          <cell r="K7">
            <v>1.3904E-2</v>
          </cell>
          <cell r="L7">
            <v>1.3993999999999999E-2</v>
          </cell>
          <cell r="M7">
            <v>1.4042000000000001E-2</v>
          </cell>
          <cell r="N7">
            <v>1972</v>
          </cell>
        </row>
        <row r="8">
          <cell r="A8">
            <v>1973</v>
          </cell>
          <cell r="B8">
            <v>1.4246E-2</v>
          </cell>
          <cell r="C8">
            <v>1.4363000000000001E-2</v>
          </cell>
          <cell r="D8">
            <v>1.4489999999999999E-2</v>
          </cell>
          <cell r="E8">
            <v>1.4718999999999999E-2</v>
          </cell>
          <cell r="F8">
            <v>1.4876E-2</v>
          </cell>
          <cell r="G8">
            <v>1.4997999999999999E-2</v>
          </cell>
          <cell r="H8">
            <v>1.5382E-2</v>
          </cell>
          <cell r="I8">
            <v>1.5629000000000001E-2</v>
          </cell>
          <cell r="J8">
            <v>1.6001000000000001E-2</v>
          </cell>
          <cell r="K8">
            <v>1.6206000000000002E-2</v>
          </cell>
          <cell r="L8">
            <v>1.6406E-2</v>
          </cell>
          <cell r="M8">
            <v>1.7042999999999999E-2</v>
          </cell>
          <cell r="N8">
            <v>1973</v>
          </cell>
        </row>
        <row r="9">
          <cell r="A9">
            <v>1974</v>
          </cell>
          <cell r="B9">
            <v>1.7652999999999999E-2</v>
          </cell>
          <cell r="C9">
            <v>1.8051999999999999E-2</v>
          </cell>
          <cell r="D9">
            <v>1.8190999999999999E-2</v>
          </cell>
          <cell r="E9">
            <v>1.8438E-2</v>
          </cell>
          <cell r="F9">
            <v>1.8582999999999999E-2</v>
          </cell>
          <cell r="G9">
            <v>1.8766000000000001E-2</v>
          </cell>
          <cell r="H9">
            <v>1.9037999999999999E-2</v>
          </cell>
          <cell r="I9">
            <v>1.9238999999999999E-2</v>
          </cell>
          <cell r="J9">
            <v>1.9456999999999999E-2</v>
          </cell>
          <cell r="K9">
            <v>1.9843E-2</v>
          </cell>
          <cell r="L9">
            <v>2.0393999999999999E-2</v>
          </cell>
          <cell r="M9">
            <v>2.0552999999999998E-2</v>
          </cell>
          <cell r="N9">
            <v>1974</v>
          </cell>
        </row>
        <row r="10">
          <cell r="A10">
            <v>1975</v>
          </cell>
          <cell r="B10">
            <v>2.0816000000000001E-2</v>
          </cell>
          <cell r="C10">
            <v>2.0931000000000002E-2</v>
          </cell>
          <cell r="D10">
            <v>2.1062999999999998E-2</v>
          </cell>
          <cell r="E10">
            <v>2.1240999999999999E-2</v>
          </cell>
          <cell r="F10">
            <v>2.1524999999999999E-2</v>
          </cell>
          <cell r="G10">
            <v>2.1891000000000001E-2</v>
          </cell>
          <cell r="H10">
            <v>2.2065999999999999E-2</v>
          </cell>
          <cell r="I10">
            <v>2.2256999999999999E-2</v>
          </cell>
          <cell r="J10">
            <v>2.2419000000000001E-2</v>
          </cell>
          <cell r="K10">
            <v>2.2533999999999998E-2</v>
          </cell>
          <cell r="L10">
            <v>2.2692E-2</v>
          </cell>
          <cell r="M10">
            <v>2.2877000000000002E-2</v>
          </cell>
          <cell r="N10">
            <v>1975</v>
          </cell>
        </row>
        <row r="11">
          <cell r="A11">
            <v>1976</v>
          </cell>
          <cell r="B11">
            <v>2.3318999999999999E-2</v>
          </cell>
          <cell r="C11">
            <v>2.3754999999999998E-2</v>
          </cell>
          <cell r="D11">
            <v>2.3987999999999999E-2</v>
          </cell>
          <cell r="E11">
            <v>2.4156E-2</v>
          </cell>
          <cell r="F11">
            <v>2.4324999999999999E-2</v>
          </cell>
          <cell r="G11">
            <v>2.4423E-2</v>
          </cell>
          <cell r="H11">
            <v>2.4629000000000002E-2</v>
          </cell>
          <cell r="I11">
            <v>2.4865000000000002E-2</v>
          </cell>
          <cell r="J11">
            <v>2.5713E-2</v>
          </cell>
          <cell r="K11">
            <v>2.7161000000000001E-2</v>
          </cell>
          <cell r="L11">
            <v>2.8388E-2</v>
          </cell>
          <cell r="M11">
            <v>2.9100000000000001E-2</v>
          </cell>
          <cell r="N11">
            <v>1976</v>
          </cell>
        </row>
        <row r="12">
          <cell r="A12">
            <v>1977</v>
          </cell>
          <cell r="B12">
            <v>3.0027000000000002E-2</v>
          </cell>
          <cell r="C12">
            <v>3.0689999999999999E-2</v>
          </cell>
          <cell r="D12">
            <v>3.1224999999999999E-2</v>
          </cell>
          <cell r="E12">
            <v>3.1697000000000003E-2</v>
          </cell>
          <cell r="F12">
            <v>3.1975999999999997E-2</v>
          </cell>
          <cell r="G12">
            <v>3.2368000000000001E-2</v>
          </cell>
          <cell r="H12">
            <v>3.2733999999999999E-2</v>
          </cell>
          <cell r="I12">
            <v>3.3404999999999997E-2</v>
          </cell>
          <cell r="J12">
            <v>3.3998E-2</v>
          </cell>
          <cell r="K12">
            <v>3.4257999999999997E-2</v>
          </cell>
          <cell r="L12">
            <v>3.4632000000000003E-2</v>
          </cell>
          <cell r="M12">
            <v>3.5111999999999997E-2</v>
          </cell>
          <cell r="N12">
            <v>1977</v>
          </cell>
        </row>
        <row r="13">
          <cell r="A13">
            <v>1978</v>
          </cell>
          <cell r="B13">
            <v>3.5892E-2</v>
          </cell>
          <cell r="C13">
            <v>3.6408000000000003E-2</v>
          </cell>
          <cell r="D13">
            <v>3.6787E-2</v>
          </cell>
          <cell r="E13">
            <v>3.7196E-2</v>
          </cell>
          <cell r="F13">
            <v>3.7560000000000003E-2</v>
          </cell>
          <cell r="G13">
            <v>3.8077E-2</v>
          </cell>
          <cell r="H13">
            <v>3.8723E-2</v>
          </cell>
          <cell r="I13">
            <v>3.9108999999999998E-2</v>
          </cell>
          <cell r="J13">
            <v>3.9555E-2</v>
          </cell>
          <cell r="K13">
            <v>4.0034E-2</v>
          </cell>
          <cell r="L13">
            <v>4.0446000000000003E-2</v>
          </cell>
          <cell r="M13">
            <v>4.0788999999999999E-2</v>
          </cell>
          <cell r="N13">
            <v>1978</v>
          </cell>
        </row>
        <row r="14">
          <cell r="A14">
            <v>1979</v>
          </cell>
          <cell r="B14">
            <v>4.2236999999999997E-2</v>
          </cell>
          <cell r="C14">
            <v>4.2845000000000001E-2</v>
          </cell>
          <cell r="D14">
            <v>4.3425999999999999E-2</v>
          </cell>
          <cell r="E14">
            <v>4.3815E-2</v>
          </cell>
          <cell r="F14">
            <v>4.4388999999999998E-2</v>
          </cell>
          <cell r="G14">
            <v>4.4880999999999997E-2</v>
          </cell>
          <cell r="H14">
            <v>4.5425E-2</v>
          </cell>
          <cell r="I14">
            <v>4.6112E-2</v>
          </cell>
          <cell r="J14">
            <v>4.6677999999999997E-2</v>
          </cell>
          <cell r="K14">
            <v>4.7493E-2</v>
          </cell>
          <cell r="L14">
            <v>4.8104000000000001E-2</v>
          </cell>
          <cell r="M14">
            <v>4.8956E-2</v>
          </cell>
          <cell r="N14">
            <v>1979</v>
          </cell>
        </row>
        <row r="15">
          <cell r="A15">
            <v>1980</v>
          </cell>
          <cell r="B15">
            <v>5.1341999999999999E-2</v>
          </cell>
          <cell r="C15">
            <v>5.2528999999999999E-2</v>
          </cell>
          <cell r="D15">
            <v>5.3609999999999998E-2</v>
          </cell>
          <cell r="E15">
            <v>5.4546999999999998E-2</v>
          </cell>
          <cell r="F15">
            <v>5.5437E-2</v>
          </cell>
          <cell r="G15">
            <v>5.6536000000000003E-2</v>
          </cell>
          <cell r="H15">
            <v>5.8115E-2</v>
          </cell>
          <cell r="I15">
            <v>5.9318999999999997E-2</v>
          </cell>
          <cell r="J15">
            <v>5.9977999999999997E-2</v>
          </cell>
          <cell r="K15">
            <v>6.0886000000000003E-2</v>
          </cell>
          <cell r="L15">
            <v>6.1941999999999997E-2</v>
          </cell>
          <cell r="M15">
            <v>6.3566999999999999E-2</v>
          </cell>
          <cell r="N15">
            <v>1980</v>
          </cell>
        </row>
        <row r="16">
          <cell r="A16">
            <v>1981</v>
          </cell>
          <cell r="B16">
            <v>6.5615000000000007E-2</v>
          </cell>
          <cell r="C16">
            <v>6.7226999999999995E-2</v>
          </cell>
          <cell r="D16">
            <v>6.8665000000000004E-2</v>
          </cell>
          <cell r="E16">
            <v>7.0212999999999998E-2</v>
          </cell>
          <cell r="F16">
            <v>7.1275000000000005E-2</v>
          </cell>
          <cell r="G16">
            <v>7.2271000000000002E-2</v>
          </cell>
          <cell r="H16">
            <v>7.3543999999999998E-2</v>
          </cell>
          <cell r="I16">
            <v>7.5060000000000002E-2</v>
          </cell>
          <cell r="J16">
            <v>7.6455999999999996E-2</v>
          </cell>
          <cell r="K16">
            <v>7.8153E-2</v>
          </cell>
          <cell r="L16">
            <v>7.9657000000000006E-2</v>
          </cell>
          <cell r="M16">
            <v>8.1800999999999999E-2</v>
          </cell>
          <cell r="N16">
            <v>1981</v>
          </cell>
        </row>
        <row r="17">
          <cell r="A17">
            <v>1982</v>
          </cell>
          <cell r="B17">
            <v>8.5865999999999998E-2</v>
          </cell>
          <cell r="C17">
            <v>8.924E-2</v>
          </cell>
          <cell r="D17">
            <v>9.2498999999999998E-2</v>
          </cell>
          <cell r="E17">
            <v>9.7512000000000001E-2</v>
          </cell>
          <cell r="F17">
            <v>0.102993</v>
          </cell>
          <cell r="G17">
            <v>0.10795399999999999</v>
          </cell>
          <cell r="H17">
            <v>0.11351700000000001</v>
          </cell>
          <cell r="I17">
            <v>0.12625600000000001</v>
          </cell>
          <cell r="J17">
            <v>0.132995</v>
          </cell>
          <cell r="K17">
            <v>0.13988999999999999</v>
          </cell>
          <cell r="L17">
            <v>0.14696300000000001</v>
          </cell>
          <cell r="M17">
            <v>0.162656</v>
          </cell>
          <cell r="N17">
            <v>1982</v>
          </cell>
        </row>
        <row r="18">
          <cell r="A18">
            <v>1983</v>
          </cell>
          <cell r="B18">
            <v>0.18035499999999999</v>
          </cell>
          <cell r="C18">
            <v>0.19003400000000001</v>
          </cell>
          <cell r="D18">
            <v>0.19923199999999999</v>
          </cell>
          <cell r="E18">
            <v>0.21184600000000001</v>
          </cell>
          <cell r="F18">
            <v>0.22103400000000001</v>
          </cell>
          <cell r="G18">
            <v>0.229404</v>
          </cell>
          <cell r="H18">
            <v>0.24074599999999999</v>
          </cell>
          <cell r="I18">
            <v>0.25009100000000001</v>
          </cell>
          <cell r="J18">
            <v>0.25778699999999999</v>
          </cell>
          <cell r="K18">
            <v>0.26634099999999999</v>
          </cell>
          <cell r="L18">
            <v>0.28198299999999998</v>
          </cell>
          <cell r="M18">
            <v>0.294047</v>
          </cell>
          <cell r="N18">
            <v>1983</v>
          </cell>
        </row>
        <row r="19">
          <cell r="A19">
            <v>1984</v>
          </cell>
          <cell r="B19">
            <v>0.31272800000000001</v>
          </cell>
          <cell r="C19">
            <v>0.32923200000000002</v>
          </cell>
          <cell r="D19">
            <v>0.343304</v>
          </cell>
          <cell r="E19">
            <v>0.35815599999999997</v>
          </cell>
          <cell r="F19">
            <v>0.37003200000000003</v>
          </cell>
          <cell r="G19">
            <v>0.38342300000000001</v>
          </cell>
          <cell r="H19">
            <v>0.39599299999999998</v>
          </cell>
          <cell r="I19">
            <v>0.40724900000000003</v>
          </cell>
          <cell r="J19">
            <v>0.41937999999999998</v>
          </cell>
          <cell r="K19">
            <v>0.43403399999999998</v>
          </cell>
          <cell r="L19">
            <v>0.44892900000000002</v>
          </cell>
          <cell r="M19">
            <v>0.46799600000000002</v>
          </cell>
          <cell r="N19">
            <v>1984</v>
          </cell>
        </row>
        <row r="20">
          <cell r="A20">
            <v>1985</v>
          </cell>
          <cell r="B20">
            <v>0.50271100000000002</v>
          </cell>
          <cell r="C20">
            <v>0.52359599999999995</v>
          </cell>
          <cell r="D20">
            <v>0.54388499999999995</v>
          </cell>
          <cell r="E20">
            <v>0.56062100000000004</v>
          </cell>
          <cell r="F20">
            <v>0.57390200000000002</v>
          </cell>
          <cell r="G20">
            <v>0.58827600000000002</v>
          </cell>
          <cell r="H20">
            <v>0.60876300000000005</v>
          </cell>
          <cell r="I20">
            <v>0.63537699999999997</v>
          </cell>
          <cell r="J20">
            <v>0.66075200000000001</v>
          </cell>
          <cell r="K20">
            <v>0.68585200000000002</v>
          </cell>
          <cell r="L20">
            <v>0.71749499999999999</v>
          </cell>
          <cell r="M20">
            <v>0.76634000000000002</v>
          </cell>
          <cell r="N20">
            <v>1985</v>
          </cell>
        </row>
        <row r="21">
          <cell r="A21">
            <v>1986</v>
          </cell>
          <cell r="B21">
            <v>0.83409199999999994</v>
          </cell>
          <cell r="C21">
            <v>0.871174</v>
          </cell>
          <cell r="D21">
            <v>0.91166700000000001</v>
          </cell>
          <cell r="E21">
            <v>0.95926299999999998</v>
          </cell>
          <cell r="F21">
            <v>1.01257</v>
          </cell>
          <cell r="G21">
            <v>1.0775669999999999</v>
          </cell>
          <cell r="H21">
            <v>1.1313329999999999</v>
          </cell>
          <cell r="I21">
            <v>1.2215309999999999</v>
          </cell>
          <cell r="J21">
            <v>1.2948120000000001</v>
          </cell>
          <cell r="K21">
            <v>1.368824</v>
          </cell>
          <cell r="L21">
            <v>1.4613039999999999</v>
          </cell>
          <cell r="M21">
            <v>1.576735</v>
          </cell>
          <cell r="N21">
            <v>1986</v>
          </cell>
        </row>
        <row r="22">
          <cell r="A22">
            <v>1987</v>
          </cell>
          <cell r="B22">
            <v>1.7044010000000001</v>
          </cell>
          <cell r="C22">
            <v>1.827386</v>
          </cell>
          <cell r="D22">
            <v>1.948153</v>
          </cell>
          <cell r="E22">
            <v>2.1186060000000002</v>
          </cell>
          <cell r="F22">
            <v>2.2783250000000002</v>
          </cell>
          <cell r="G22">
            <v>2.443146</v>
          </cell>
          <cell r="H22">
            <v>2.641022</v>
          </cell>
          <cell r="I22">
            <v>2.8568720000000001</v>
          </cell>
          <cell r="J22">
            <v>3.0450810000000001</v>
          </cell>
          <cell r="K22">
            <v>3.298845</v>
          </cell>
          <cell r="L22">
            <v>3.560511</v>
          </cell>
          <cell r="M22">
            <v>4.086392</v>
          </cell>
          <cell r="N22">
            <v>1987</v>
          </cell>
        </row>
        <row r="23">
          <cell r="A23">
            <v>1988</v>
          </cell>
          <cell r="B23">
            <v>4.7182459999999997</v>
          </cell>
          <cell r="C23">
            <v>5.111783</v>
          </cell>
          <cell r="D23">
            <v>5.3735470000000003</v>
          </cell>
          <cell r="E23">
            <v>5.5389410000000003</v>
          </cell>
          <cell r="F23">
            <v>5.646109</v>
          </cell>
          <cell r="G23">
            <v>5.7612920000000001</v>
          </cell>
          <cell r="H23">
            <v>5.8574570000000001</v>
          </cell>
          <cell r="I23">
            <v>5.9113429999999996</v>
          </cell>
          <cell r="J23">
            <v>5.9451390000000002</v>
          </cell>
          <cell r="K23">
            <v>5.9904859999999998</v>
          </cell>
          <cell r="L23">
            <v>6.0706540000000002</v>
          </cell>
          <cell r="M23">
            <v>6.1973159999999998</v>
          </cell>
          <cell r="N23">
            <v>1988</v>
          </cell>
        </row>
        <row r="24">
          <cell r="A24">
            <v>1989</v>
          </cell>
          <cell r="B24">
            <v>6.349024</v>
          </cell>
          <cell r="C24">
            <v>6.4351839999999996</v>
          </cell>
          <cell r="D24">
            <v>6.5049450000000002</v>
          </cell>
          <cell r="E24">
            <v>6.6022239999999996</v>
          </cell>
          <cell r="F24">
            <v>6.6930990000000001</v>
          </cell>
          <cell r="G24">
            <v>6.7743849999999997</v>
          </cell>
          <cell r="H24">
            <v>6.8421479999999999</v>
          </cell>
          <cell r="I24">
            <v>6.9073330000000004</v>
          </cell>
          <cell r="J24">
            <v>6.9733929999999997</v>
          </cell>
          <cell r="K24">
            <v>7.0765250000000002</v>
          </cell>
          <cell r="L24">
            <v>7.1758550000000003</v>
          </cell>
          <cell r="M24">
            <v>7.4180299999999999</v>
          </cell>
          <cell r="N24">
            <v>1989</v>
          </cell>
        </row>
        <row r="25">
          <cell r="A25">
            <v>1990</v>
          </cell>
          <cell r="B25">
            <v>7.7760369999999996</v>
          </cell>
          <cell r="C25">
            <v>7.9521199999999999</v>
          </cell>
          <cell r="D25">
            <v>8.0923099999999994</v>
          </cell>
          <cell r="E25">
            <v>8.2154720000000001</v>
          </cell>
          <cell r="F25">
            <v>8.3588380000000004</v>
          </cell>
          <cell r="G25">
            <v>8.5429390000000005</v>
          </cell>
          <cell r="H25">
            <v>8.6987349999999992</v>
          </cell>
          <cell r="I25">
            <v>8.8469499999999996</v>
          </cell>
          <cell r="J25">
            <v>8.9730609999999995</v>
          </cell>
          <cell r="K25">
            <v>9.1020599999999998</v>
          </cell>
          <cell r="L25">
            <v>9.3437230000000007</v>
          </cell>
          <cell r="M25">
            <v>9.6382139999999996</v>
          </cell>
          <cell r="N25">
            <v>1990</v>
          </cell>
        </row>
        <row r="26">
          <cell r="A26">
            <v>1991</v>
          </cell>
          <cell r="B26">
            <v>9.8838799999999996</v>
          </cell>
          <cell r="C26">
            <v>10.056425000000001</v>
          </cell>
          <cell r="D26">
            <v>10.19984</v>
          </cell>
          <cell r="E26">
            <v>10.306687999999999</v>
          </cell>
          <cell r="F26">
            <v>10.407442</v>
          </cell>
          <cell r="G26">
            <v>10.516648</v>
          </cell>
          <cell r="H26">
            <v>10.609584</v>
          </cell>
          <cell r="I26">
            <v>10.683422999999999</v>
          </cell>
          <cell r="J26">
            <v>10.789849999999999</v>
          </cell>
          <cell r="K26">
            <v>10.915343</v>
          </cell>
          <cell r="L26">
            <v>11.186374000000001</v>
          </cell>
          <cell r="M26">
            <v>11.449680000000001</v>
          </cell>
          <cell r="N26">
            <v>1991</v>
          </cell>
        </row>
        <row r="27">
          <cell r="A27">
            <v>1992</v>
          </cell>
          <cell r="B27">
            <v>11.657778</v>
          </cell>
          <cell r="C27">
            <v>11.7959</v>
          </cell>
          <cell r="D27">
            <v>11.915948</v>
          </cell>
          <cell r="E27">
            <v>12.022171</v>
          </cell>
          <cell r="F27">
            <v>12.101438</v>
          </cell>
          <cell r="G27">
            <v>12.183344999999999</v>
          </cell>
          <cell r="H27">
            <v>12.260272000000001</v>
          </cell>
          <cell r="I27">
            <v>12.335592</v>
          </cell>
          <cell r="J27">
            <v>12.442897</v>
          </cell>
          <cell r="K27">
            <v>12.532494</v>
          </cell>
          <cell r="L27">
            <v>12.636620000000001</v>
          </cell>
          <cell r="M27">
            <v>12.816553000000001</v>
          </cell>
          <cell r="N27">
            <v>1992</v>
          </cell>
        </row>
        <row r="28">
          <cell r="A28">
            <v>1993</v>
          </cell>
          <cell r="B28">
            <v>12.977320000000001</v>
          </cell>
          <cell r="C28">
            <v>13.083345</v>
          </cell>
          <cell r="D28">
            <v>13.159594</v>
          </cell>
          <cell r="E28">
            <v>13.235480000000001</v>
          </cell>
          <cell r="F28">
            <v>13.311137</v>
          </cell>
          <cell r="G28">
            <v>13.385797</v>
          </cell>
          <cell r="H28">
            <v>13.450123</v>
          </cell>
          <cell r="I28">
            <v>13.522112</v>
          </cell>
          <cell r="J28">
            <v>13.622261</v>
          </cell>
          <cell r="K28">
            <v>13.677973</v>
          </cell>
          <cell r="L28">
            <v>13.738301999999999</v>
          </cell>
          <cell r="M28">
            <v>13.843055</v>
          </cell>
          <cell r="N28">
            <v>1993</v>
          </cell>
        </row>
        <row r="29">
          <cell r="A29">
            <v>1994</v>
          </cell>
          <cell r="B29">
            <v>13.950374999999999</v>
          </cell>
          <cell r="C29">
            <v>14.022124</v>
          </cell>
          <cell r="D29">
            <v>14.094225</v>
          </cell>
          <cell r="E29">
            <v>14.163251000000001</v>
          </cell>
          <cell r="F29">
            <v>14.231681999999999</v>
          </cell>
          <cell r="G29">
            <v>14.302894999999999</v>
          </cell>
          <cell r="H29">
            <v>14.366327</v>
          </cell>
          <cell r="I29">
            <v>14.433287</v>
          </cell>
          <cell r="J29">
            <v>14.535937000000001</v>
          </cell>
          <cell r="K29">
            <v>14.612245</v>
          </cell>
          <cell r="L29">
            <v>14.690360999999999</v>
          </cell>
          <cell r="M29">
            <v>14.819203999999999</v>
          </cell>
          <cell r="N29">
            <v>1994</v>
          </cell>
        </row>
        <row r="30">
          <cell r="A30">
            <v>1995</v>
          </cell>
          <cell r="B30">
            <v>15.376991</v>
          </cell>
          <cell r="C30">
            <v>16.028707000000001</v>
          </cell>
          <cell r="D30">
            <v>16.973617000000001</v>
          </cell>
          <cell r="E30">
            <v>18.326132999999999</v>
          </cell>
          <cell r="F30">
            <v>19.092089999999999</v>
          </cell>
          <cell r="G30">
            <v>19.698024</v>
          </cell>
          <cell r="H30">
            <v>20.099588000000001</v>
          </cell>
          <cell r="I30">
            <v>20.432981000000002</v>
          </cell>
          <cell r="J30">
            <v>20.855643000000001</v>
          </cell>
          <cell r="K30">
            <v>21.284762000000001</v>
          </cell>
          <cell r="L30">
            <v>21.809608000000001</v>
          </cell>
          <cell r="M30">
            <v>22.520167000000001</v>
          </cell>
          <cell r="N30">
            <v>1995</v>
          </cell>
        </row>
        <row r="31">
          <cell r="A31">
            <v>1996</v>
          </cell>
          <cell r="B31">
            <v>23.329754000000001</v>
          </cell>
          <cell r="C31">
            <v>23.874262000000002</v>
          </cell>
          <cell r="D31">
            <v>24.399826000000001</v>
          </cell>
          <cell r="E31">
            <v>25.093450000000001</v>
          </cell>
          <cell r="F31">
            <v>25.550841999999999</v>
          </cell>
          <cell r="G31">
            <v>25.966902000000001</v>
          </cell>
          <cell r="H31">
            <v>26.336030999999998</v>
          </cell>
          <cell r="I31">
            <v>26.686071999999999</v>
          </cell>
          <cell r="J31">
            <v>27.112750999999999</v>
          </cell>
          <cell r="K31">
            <v>27.451167999999999</v>
          </cell>
          <cell r="L31">
            <v>27.867083000000001</v>
          </cell>
          <cell r="M31">
            <v>28.759336000000001</v>
          </cell>
          <cell r="N31">
            <v>1996</v>
          </cell>
        </row>
        <row r="32">
          <cell r="A32">
            <v>1997</v>
          </cell>
          <cell r="B32">
            <v>29.498885999999999</v>
          </cell>
          <cell r="C32">
            <v>29.994598</v>
          </cell>
          <cell r="D32">
            <v>30.367889000000002</v>
          </cell>
          <cell r="E32">
            <v>30.695972000000001</v>
          </cell>
          <cell r="F32">
            <v>30.976119000000001</v>
          </cell>
          <cell r="G32">
            <v>31.250957</v>
          </cell>
          <cell r="H32">
            <v>31.523211</v>
          </cell>
          <cell r="I32">
            <v>31.803502000000002</v>
          </cell>
          <cell r="J32">
            <v>32.199612999999999</v>
          </cell>
          <cell r="K32">
            <v>32.456941</v>
          </cell>
          <cell r="L32">
            <v>32.820042000000001</v>
          </cell>
          <cell r="M32">
            <v>33.279874999999997</v>
          </cell>
          <cell r="N32">
            <v>1997</v>
          </cell>
        </row>
        <row r="33">
          <cell r="A33">
            <v>1998</v>
          </cell>
          <cell r="B33">
            <v>34.003923999999998</v>
          </cell>
          <cell r="C33">
            <v>34.599238</v>
          </cell>
          <cell r="D33">
            <v>35.004533000000002</v>
          </cell>
          <cell r="E33">
            <v>35.332042000000001</v>
          </cell>
          <cell r="F33">
            <v>35.613481</v>
          </cell>
          <cell r="G33">
            <v>36.034419999999997</v>
          </cell>
          <cell r="H33">
            <v>36.381878</v>
          </cell>
          <cell r="I33">
            <v>36.731631999999998</v>
          </cell>
          <cell r="J33">
            <v>37.327376000000001</v>
          </cell>
          <cell r="K33">
            <v>37.862268999999998</v>
          </cell>
          <cell r="L33">
            <v>38.532786000000002</v>
          </cell>
          <cell r="M33">
            <v>39.472974000000001</v>
          </cell>
          <cell r="N33">
            <v>1998</v>
          </cell>
        </row>
        <row r="34">
          <cell r="A34">
            <v>1999</v>
          </cell>
          <cell r="B34">
            <v>40.469769999999997</v>
          </cell>
          <cell r="C34">
            <v>41.013643000000002</v>
          </cell>
          <cell r="D34">
            <v>41.394683999999998</v>
          </cell>
          <cell r="E34">
            <v>41.774577000000001</v>
          </cell>
          <cell r="F34">
            <v>42.025877000000001</v>
          </cell>
          <cell r="G34">
            <v>42.302005999999999</v>
          </cell>
          <cell r="H34">
            <v>42.581580000000002</v>
          </cell>
          <cell r="I34">
            <v>42.821255000000001</v>
          </cell>
          <cell r="J34">
            <v>43.235017999999997</v>
          </cell>
          <cell r="K34">
            <v>43.508851</v>
          </cell>
          <cell r="L34">
            <v>43.895775999999998</v>
          </cell>
          <cell r="M34">
            <v>44.335515999999998</v>
          </cell>
          <cell r="N34">
            <v>1999</v>
          </cell>
        </row>
        <row r="35">
          <cell r="A35">
            <v>2000</v>
          </cell>
          <cell r="B35">
            <v>44.93083</v>
          </cell>
          <cell r="C35">
            <v>45.32938</v>
          </cell>
          <cell r="D35">
            <v>45.580680999999998</v>
          </cell>
          <cell r="E35">
            <v>45.840018000000001</v>
          </cell>
          <cell r="F35">
            <v>46.011378999999998</v>
          </cell>
          <cell r="G35">
            <v>46.283920000000002</v>
          </cell>
          <cell r="H35">
            <v>46.464466000000002</v>
          </cell>
          <cell r="I35">
            <v>46.719785000000002</v>
          </cell>
          <cell r="J35">
            <v>47.061072000000003</v>
          </cell>
          <cell r="K35">
            <v>47.385136000000003</v>
          </cell>
          <cell r="L35">
            <v>47.790287999999997</v>
          </cell>
          <cell r="M35">
            <v>48.307670999999999</v>
          </cell>
          <cell r="N35">
            <v>2000</v>
          </cell>
        </row>
        <row r="36">
          <cell r="A36">
            <v>2001</v>
          </cell>
          <cell r="B36">
            <v>48.575476000000002</v>
          </cell>
          <cell r="C36">
            <v>48.543328000000002</v>
          </cell>
          <cell r="D36">
            <v>48.850887999999998</v>
          </cell>
          <cell r="E36">
            <v>49.097309000000003</v>
          </cell>
          <cell r="F36">
            <v>49.209969999999998</v>
          </cell>
          <cell r="G36">
            <v>49.326363999999998</v>
          </cell>
          <cell r="H36">
            <v>49.198202000000002</v>
          </cell>
          <cell r="I36">
            <v>49.489688000000001</v>
          </cell>
          <cell r="J36">
            <v>49.950381</v>
          </cell>
          <cell r="K36">
            <v>50.176135000000002</v>
          </cell>
          <cell r="L36">
            <v>50.365149000000002</v>
          </cell>
          <cell r="M36">
            <v>50.434899000000001</v>
          </cell>
          <cell r="N36">
            <v>2001</v>
          </cell>
        </row>
        <row r="37">
          <cell r="A37">
            <v>2002</v>
          </cell>
          <cell r="B37">
            <v>50.900472000000001</v>
          </cell>
          <cell r="C37">
            <v>50.867750000000001</v>
          </cell>
          <cell r="D37">
            <v>51.127948000000004</v>
          </cell>
          <cell r="E37">
            <v>51.407235</v>
          </cell>
          <cell r="F37">
            <v>51.511429</v>
          </cell>
          <cell r="G37">
            <v>51.762585999999999</v>
          </cell>
          <cell r="H37">
            <v>51.911180999999999</v>
          </cell>
          <cell r="I37">
            <v>52.108559999999997</v>
          </cell>
          <cell r="J37">
            <v>52.421984000000002</v>
          </cell>
          <cell r="K37">
            <v>52.653036</v>
          </cell>
          <cell r="L37">
            <v>53.078876999999999</v>
          </cell>
          <cell r="M37">
            <v>53.309930000000001</v>
          </cell>
          <cell r="N37">
            <v>2002</v>
          </cell>
        </row>
        <row r="38">
          <cell r="A38">
            <v>2003</v>
          </cell>
          <cell r="B38">
            <v>53.525441000000001</v>
          </cell>
          <cell r="C38">
            <v>53.674121999999997</v>
          </cell>
          <cell r="D38">
            <v>54.012929999999997</v>
          </cell>
          <cell r="E38">
            <v>54.105144000000003</v>
          </cell>
          <cell r="F38">
            <v>53.93056</v>
          </cell>
          <cell r="G38">
            <v>53.975112000000003</v>
          </cell>
          <cell r="H38">
            <v>54.053339000000001</v>
          </cell>
          <cell r="I38">
            <v>54.215490000000003</v>
          </cell>
          <cell r="J38">
            <v>54.538238</v>
          </cell>
          <cell r="K38">
            <v>54.738207000000003</v>
          </cell>
          <cell r="L38">
            <v>55.192542000000003</v>
          </cell>
          <cell r="M38">
            <v>55.429811000000001</v>
          </cell>
          <cell r="N38">
            <v>2003</v>
          </cell>
        </row>
        <row r="39">
          <cell r="A39">
            <v>2004</v>
          </cell>
          <cell r="B39">
            <v>55.774317000000003</v>
          </cell>
          <cell r="C39">
            <v>56.107945000000001</v>
          </cell>
          <cell r="D39">
            <v>56.298071</v>
          </cell>
          <cell r="E39">
            <v>56.383032</v>
          </cell>
          <cell r="F39">
            <v>56.241602999999998</v>
          </cell>
          <cell r="G39">
            <v>56.331744999999998</v>
          </cell>
          <cell r="H39">
            <v>56.479390000000002</v>
          </cell>
          <cell r="I39">
            <v>56.828040999999999</v>
          </cell>
          <cell r="J39">
            <v>57.297916999999998</v>
          </cell>
          <cell r="K39">
            <v>57.694747</v>
          </cell>
          <cell r="L39">
            <v>58.186898999999997</v>
          </cell>
          <cell r="M39">
            <v>58.307088</v>
          </cell>
          <cell r="N39">
            <v>2004</v>
          </cell>
        </row>
        <row r="40">
          <cell r="A40">
            <v>2005</v>
          </cell>
          <cell r="B40">
            <v>58.309159999999999</v>
          </cell>
          <cell r="C40">
            <v>58.503430999999999</v>
          </cell>
          <cell r="D40">
            <v>58.767121000000003</v>
          </cell>
          <cell r="E40">
            <v>58.976415000000003</v>
          </cell>
          <cell r="F40">
            <v>58.828251000000002</v>
          </cell>
          <cell r="G40">
            <v>58.771782999999999</v>
          </cell>
          <cell r="H40">
            <v>59.001800000000003</v>
          </cell>
          <cell r="I40">
            <v>59.072254999999998</v>
          </cell>
          <cell r="J40">
            <v>59.309005999999997</v>
          </cell>
          <cell r="K40">
            <v>59.45458</v>
          </cell>
          <cell r="L40">
            <v>59.882492999999997</v>
          </cell>
          <cell r="M40">
            <v>60.250312000000001</v>
          </cell>
          <cell r="N40">
            <v>2005</v>
          </cell>
        </row>
        <row r="41">
          <cell r="A41">
            <v>2006</v>
          </cell>
          <cell r="B41">
            <v>60.603625999999998</v>
          </cell>
          <cell r="C41">
            <v>60.696357999999996</v>
          </cell>
          <cell r="D41">
            <v>60.772511999999999</v>
          </cell>
          <cell r="E41">
            <v>60.861617000000003</v>
          </cell>
          <cell r="F41">
            <v>60.590674999999997</v>
          </cell>
          <cell r="G41">
            <v>60.642997999999999</v>
          </cell>
          <cell r="H41">
            <v>60.809294000000001</v>
          </cell>
          <cell r="I41">
            <v>61.119608999999997</v>
          </cell>
          <cell r="J41">
            <v>61.736612000000001</v>
          </cell>
          <cell r="K41">
            <v>62.006518999999997</v>
          </cell>
          <cell r="L41">
            <v>62.331856999999999</v>
          </cell>
          <cell r="M41">
            <v>62.692424000000003</v>
          </cell>
          <cell r="N41">
            <v>2006</v>
          </cell>
        </row>
        <row r="42">
          <cell r="A42">
            <v>2007</v>
          </cell>
          <cell r="B42">
            <v>63.016207999999999</v>
          </cell>
          <cell r="C42">
            <v>63.192346999999998</v>
          </cell>
          <cell r="D42">
            <v>63.329113</v>
          </cell>
          <cell r="E42">
            <v>63.291294999999998</v>
          </cell>
          <cell r="F42">
            <v>62.982534000000001</v>
          </cell>
          <cell r="G42">
            <v>63.058169999999997</v>
          </cell>
          <cell r="H42">
            <v>63.326005000000002</v>
          </cell>
          <cell r="I42">
            <v>63.583995999999999</v>
          </cell>
          <cell r="J42">
            <v>64.077703</v>
          </cell>
          <cell r="K42">
            <v>64.327404999999999</v>
          </cell>
          <cell r="L42">
            <v>64.781221000000002</v>
          </cell>
          <cell r="M42">
            <v>65.049055999999993</v>
          </cell>
          <cell r="N42">
            <v>2007</v>
          </cell>
        </row>
        <row r="43">
          <cell r="A43">
            <v>2008</v>
          </cell>
          <cell r="B43">
            <v>65.350564000000006</v>
          </cell>
          <cell r="C43">
            <v>65.544833999999994</v>
          </cell>
          <cell r="D43">
            <v>66.019891000000001</v>
          </cell>
          <cell r="E43">
            <v>66.170126999999994</v>
          </cell>
          <cell r="F43">
            <v>66.098635000000002</v>
          </cell>
          <cell r="G43">
            <v>66.372168000000002</v>
          </cell>
          <cell r="H43">
            <v>66.742058999999998</v>
          </cell>
          <cell r="I43">
            <v>67.127492000000004</v>
          </cell>
          <cell r="J43">
            <v>67.584935000000002</v>
          </cell>
          <cell r="K43">
            <v>68.045485999999997</v>
          </cell>
          <cell r="L43">
            <v>68.818942000000007</v>
          </cell>
          <cell r="M43">
            <v>69.295552000000001</v>
          </cell>
          <cell r="N43">
            <v>2008</v>
          </cell>
        </row>
        <row r="44">
          <cell r="A44">
            <v>2009</v>
          </cell>
          <cell r="B44">
            <v>69.456148999999996</v>
          </cell>
          <cell r="C44">
            <v>69.609493999999998</v>
          </cell>
          <cell r="D44">
            <v>70.009950000000003</v>
          </cell>
          <cell r="E44">
            <v>70.254990000000006</v>
          </cell>
          <cell r="F44">
            <v>70.050358000000003</v>
          </cell>
          <cell r="G44">
            <v>70.179354000000004</v>
          </cell>
          <cell r="H44">
            <v>70.370515999999995</v>
          </cell>
          <cell r="I44">
            <v>70.538883999999996</v>
          </cell>
          <cell r="J44">
            <v>70.892715999999993</v>
          </cell>
          <cell r="K44">
            <v>71.107191</v>
          </cell>
          <cell r="L44">
            <v>71.476045999999997</v>
          </cell>
          <cell r="M44">
            <v>71.771855000000002</v>
          </cell>
          <cell r="N44">
            <v>2009</v>
          </cell>
        </row>
        <row r="45">
          <cell r="A45">
            <v>2010</v>
          </cell>
          <cell r="B45">
            <v>72.552046000000004</v>
          </cell>
          <cell r="C45">
            <v>72.971671000000001</v>
          </cell>
          <cell r="D45">
            <v>73.489725000000007</v>
          </cell>
          <cell r="E45">
            <v>73.255565000000004</v>
          </cell>
          <cell r="F45">
            <v>72.793977999999996</v>
          </cell>
          <cell r="G45">
            <v>72.771182999999994</v>
          </cell>
          <cell r="H45">
            <v>72.929190000000006</v>
          </cell>
          <cell r="I45">
            <v>73.131749999999997</v>
          </cell>
          <cell r="J45">
            <v>73.515110000000007</v>
          </cell>
          <cell r="K45">
            <v>73.968925999999996</v>
          </cell>
          <cell r="L45">
            <v>74.561581000000004</v>
          </cell>
          <cell r="M45">
            <v>74.930954</v>
          </cell>
          <cell r="N45">
            <v>2010</v>
          </cell>
        </row>
        <row r="46">
          <cell r="A46">
            <v>2011</v>
          </cell>
          <cell r="B46">
            <v>75.295991000000001</v>
          </cell>
          <cell r="C46">
            <v>75.578460000000007</v>
          </cell>
          <cell r="D46">
            <v>75.723450999999997</v>
          </cell>
          <cell r="E46">
            <v>75.717440999999994</v>
          </cell>
          <cell r="F46">
            <v>75.159263999999993</v>
          </cell>
          <cell r="G46">
            <v>75.155507999999998</v>
          </cell>
          <cell r="H46">
            <v>75.516107000000005</v>
          </cell>
          <cell r="I46">
            <v>75.635554999999997</v>
          </cell>
          <cell r="J46">
            <v>75.821112999999997</v>
          </cell>
          <cell r="K46">
            <v>76.332712000000001</v>
          </cell>
          <cell r="L46">
            <v>77.158332999999999</v>
          </cell>
          <cell r="M46">
            <v>77.792384999999996</v>
          </cell>
          <cell r="N46">
            <v>2011</v>
          </cell>
        </row>
        <row r="47">
          <cell r="A47">
            <v>2012</v>
          </cell>
          <cell r="B47">
            <v>78.343048999999993</v>
          </cell>
          <cell r="C47">
            <v>78.502313999999998</v>
          </cell>
          <cell r="D47">
            <v>78.547388999999995</v>
          </cell>
          <cell r="E47">
            <v>78.300979999999996</v>
          </cell>
          <cell r="F47">
            <v>78.053819000000004</v>
          </cell>
          <cell r="G47">
            <v>78.413667000000004</v>
          </cell>
          <cell r="H47">
            <v>78.853897000000003</v>
          </cell>
          <cell r="I47">
            <v>79.090540000000004</v>
          </cell>
          <cell r="J47">
            <v>79.439119000000005</v>
          </cell>
          <cell r="K47">
            <v>79.841036000000003</v>
          </cell>
          <cell r="L47">
            <v>80.383437000000001</v>
          </cell>
          <cell r="M47">
            <v>80.568242999999995</v>
          </cell>
          <cell r="N47">
            <v>2012</v>
          </cell>
        </row>
        <row r="48">
          <cell r="A48">
            <v>2013</v>
          </cell>
          <cell r="B48">
            <v>80.892781999999997</v>
          </cell>
          <cell r="C48">
            <v>81.290942999999999</v>
          </cell>
          <cell r="D48">
            <v>81.887433000000001</v>
          </cell>
          <cell r="E48">
            <v>81.941523000000004</v>
          </cell>
          <cell r="F48">
            <v>81.668819999999997</v>
          </cell>
          <cell r="G48">
            <v>81.619237999999996</v>
          </cell>
          <cell r="H48">
            <v>81.592192999999995</v>
          </cell>
          <cell r="I48">
            <v>81.824327999999994</v>
          </cell>
          <cell r="J48">
            <v>82.132339999999999</v>
          </cell>
          <cell r="K48">
            <v>82.522987999999998</v>
          </cell>
          <cell r="L48">
            <v>83.292265</v>
          </cell>
          <cell r="M48">
            <v>83.770058000000006</v>
          </cell>
          <cell r="N48">
            <v>2013</v>
          </cell>
        </row>
        <row r="49">
          <cell r="A49">
            <v>2014</v>
          </cell>
          <cell r="B49">
            <v>84.519052000000002</v>
          </cell>
          <cell r="C49">
            <v>84.733157000000006</v>
          </cell>
          <cell r="D49">
            <v>84.965292000000005</v>
          </cell>
          <cell r="E49">
            <v>84.806779000000006</v>
          </cell>
          <cell r="F49">
            <v>84.535578999999998</v>
          </cell>
          <cell r="G49">
            <v>84.682072000000005</v>
          </cell>
          <cell r="H49">
            <v>84.914958999999996</v>
          </cell>
          <cell r="I49">
            <v>85.219965000000002</v>
          </cell>
          <cell r="J49">
            <v>85.596339999999998</v>
          </cell>
          <cell r="K49">
            <v>86.069626</v>
          </cell>
          <cell r="L49">
            <v>86.763778000000002</v>
          </cell>
          <cell r="M49">
            <v>87.188984000000005</v>
          </cell>
          <cell r="N49">
            <v>2014</v>
          </cell>
        </row>
        <row r="50">
          <cell r="A50">
            <v>2015</v>
          </cell>
          <cell r="B50">
            <v>87.110102999999995</v>
          </cell>
          <cell r="C50">
            <v>87.275377000000006</v>
          </cell>
          <cell r="D50">
            <v>87.630717000000004</v>
          </cell>
          <cell r="E50">
            <v>87.403840000000002</v>
          </cell>
          <cell r="F50">
            <v>86.967365999999998</v>
          </cell>
          <cell r="G50">
            <v>87.113107999999997</v>
          </cell>
          <cell r="H50">
            <v>87.240819999999999</v>
          </cell>
          <cell r="I50">
            <v>87.424875</v>
          </cell>
          <cell r="J50">
            <v>87.752419000000003</v>
          </cell>
          <cell r="K50">
            <v>88.203918999999999</v>
          </cell>
          <cell r="L50">
            <v>88.685468</v>
          </cell>
          <cell r="M50">
            <v>89.046818000000002</v>
          </cell>
          <cell r="N50">
            <v>2015</v>
          </cell>
        </row>
        <row r="51">
          <cell r="A51">
            <v>2016</v>
          </cell>
          <cell r="B51">
            <v>89.386381</v>
          </cell>
          <cell r="C51">
            <v>89.777781000000004</v>
          </cell>
          <cell r="D51">
            <v>89.910000999999994</v>
          </cell>
          <cell r="E51">
            <v>89.625277999999994</v>
          </cell>
          <cell r="F51">
            <v>89.225615000000005</v>
          </cell>
          <cell r="G51">
            <v>89.324027999999998</v>
          </cell>
          <cell r="H51">
            <v>89.556914000000006</v>
          </cell>
          <cell r="I51">
            <v>89.809332999999995</v>
          </cell>
          <cell r="J51">
            <v>90.357743999999997</v>
          </cell>
          <cell r="K51">
            <v>90.906154000000001</v>
          </cell>
          <cell r="L51">
            <v>91.616833999999997</v>
          </cell>
          <cell r="M51">
            <v>92.039034999999998</v>
          </cell>
          <cell r="N51">
            <v>2016</v>
          </cell>
        </row>
        <row r="52">
          <cell r="A52">
            <v>2017</v>
          </cell>
          <cell r="B52">
            <v>93.603881999999999</v>
          </cell>
          <cell r="C52">
            <v>94.144779999999997</v>
          </cell>
          <cell r="D52">
            <v>94.722488999999996</v>
          </cell>
          <cell r="E52">
            <v>94.838932999999997</v>
          </cell>
          <cell r="F52">
            <v>94.725493999999998</v>
          </cell>
          <cell r="G52">
            <v>94.963639999999998</v>
          </cell>
          <cell r="H52">
            <v>95.322736000000006</v>
          </cell>
          <cell r="I52">
            <v>95.793768</v>
          </cell>
          <cell r="J52">
            <v>96.093514999999996</v>
          </cell>
          <cell r="K52">
            <v>96.698268999999996</v>
          </cell>
          <cell r="L52">
            <v>97.695173999999994</v>
          </cell>
          <cell r="M52">
            <v>98.272882999999993</v>
          </cell>
          <cell r="N52">
            <v>2017</v>
          </cell>
        </row>
        <row r="53">
          <cell r="A53">
            <v>2018</v>
          </cell>
          <cell r="B53">
            <v>98.795000000000002</v>
          </cell>
          <cell r="C53">
            <v>99.171374</v>
          </cell>
          <cell r="D53">
            <v>99.492157000000006</v>
          </cell>
          <cell r="E53">
            <v>99.154847000000004</v>
          </cell>
          <cell r="F53">
            <v>98.994079999999997</v>
          </cell>
          <cell r="G53">
            <v>99.376464999999996</v>
          </cell>
          <cell r="H53">
            <v>99.909098999999998</v>
          </cell>
          <cell r="I53">
            <v>100.492</v>
          </cell>
          <cell r="J53">
            <v>100.917</v>
          </cell>
          <cell r="K53">
            <v>101.44</v>
          </cell>
          <cell r="L53">
            <v>102.303</v>
          </cell>
          <cell r="M53">
            <v>103.02</v>
          </cell>
          <cell r="N53">
            <v>2018</v>
          </cell>
        </row>
        <row r="54">
          <cell r="A54">
            <v>2019</v>
          </cell>
          <cell r="B54">
            <v>103.108</v>
          </cell>
          <cell r="C54">
            <v>103.07899999999999</v>
          </cell>
          <cell r="D54">
            <v>103.476</v>
          </cell>
          <cell r="E54">
            <v>103.53100000000001</v>
          </cell>
          <cell r="F54">
            <v>103.233</v>
          </cell>
          <cell r="G54">
            <v>103.29900000000001</v>
          </cell>
          <cell r="H54">
            <v>103.687</v>
          </cell>
          <cell r="I54">
            <v>103.67</v>
          </cell>
          <cell r="J54">
            <v>103.94199999999999</v>
          </cell>
          <cell r="K54">
            <v>104.503</v>
          </cell>
          <cell r="L54">
            <v>105.346</v>
          </cell>
          <cell r="M54">
            <v>105.934</v>
          </cell>
          <cell r="N54">
            <v>2019</v>
          </cell>
        </row>
        <row r="55">
          <cell r="A55">
            <v>2020</v>
          </cell>
          <cell r="B55">
            <v>106.447</v>
          </cell>
          <cell r="C55">
            <v>106.889</v>
          </cell>
          <cell r="D55">
            <v>106.83799999999999</v>
          </cell>
          <cell r="E55">
            <v>105.755</v>
          </cell>
          <cell r="F55">
            <v>106.16200000000001</v>
          </cell>
          <cell r="G55">
            <v>106.74299999999999</v>
          </cell>
          <cell r="H55">
            <v>107.444</v>
          </cell>
          <cell r="I55">
            <v>107.867</v>
          </cell>
          <cell r="J55">
            <v>108.114</v>
          </cell>
          <cell r="K55">
            <v>108.774</v>
          </cell>
          <cell r="L55">
            <v>108.85599999999999</v>
          </cell>
          <cell r="M55">
            <v>109.271</v>
          </cell>
          <cell r="N55">
            <v>2020</v>
          </cell>
        </row>
        <row r="56">
          <cell r="B56" t="str">
            <v>ENE</v>
          </cell>
          <cell r="C56" t="str">
            <v>FEB</v>
          </cell>
          <cell r="D56" t="str">
            <v>MAR</v>
          </cell>
          <cell r="E56" t="str">
            <v>ABR</v>
          </cell>
          <cell r="F56" t="str">
            <v>MAY</v>
          </cell>
          <cell r="G56" t="str">
            <v>JUN</v>
          </cell>
          <cell r="H56" t="str">
            <v>JUL</v>
          </cell>
          <cell r="I56" t="str">
            <v>AGO</v>
          </cell>
          <cell r="J56" t="str">
            <v>SEP</v>
          </cell>
          <cell r="K56" t="str">
            <v>OCT</v>
          </cell>
          <cell r="L56" t="str">
            <v>NOV</v>
          </cell>
          <cell r="M56" t="str">
            <v>DIC</v>
          </cell>
        </row>
      </sheetData>
      <sheetData sheetId="20">
        <row r="9">
          <cell r="B9">
            <v>1</v>
          </cell>
        </row>
      </sheetData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INPC Base 2018"/>
      <sheetName val="EUROS 2011"/>
    </sheetNames>
    <sheetDataSet>
      <sheetData sheetId="0" refreshError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ickmarks"/>
      <sheetName val="ISS1QN"/>
      <sheetName val="IM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Subsidio"/>
      <sheetName val="Tamaño de muestra"/>
      <sheetName val="Vaciado Nomina"/>
      <sheetName val="Cálculo I.S.P.T. "/>
      <sheetName val="S.D.I"/>
      <sheetName val="Tickmarks"/>
      <sheetName val="Links"/>
    </sheetNames>
    <sheetDataSet>
      <sheetData sheetId="0">
        <row r="85">
          <cell r="G85">
            <v>102997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Vaciado Nomina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ES ACTUALI"/>
      <sheetName val="UFINES"/>
      <sheetName val="DATOS GENERALES"/>
      <sheetName val="BB TENENCIA"/>
      <sheetName val="A SUMARIA"/>
      <sheetName val="CORTES"/>
      <sheetName val="B Primer Ajuste"/>
      <sheetName val="2o. AJUSTE CUFIN-CUFINRE"/>
      <sheetName val="DIF. EN CUFIN Y CUFINRE"/>
      <sheetName val="CUFIN"/>
      <sheetName val="UFIN"/>
      <sheetName val="PERDIDAS"/>
      <sheetName val="PERD FRACC. III"/>
      <sheetName val="PARR 3 ART III"/>
      <sheetName val="MAQ.Y EQ."/>
    </sheetNames>
    <sheetDataSet>
      <sheetData sheetId="0" refreshError="1">
        <row r="3">
          <cell r="B3">
            <v>35796</v>
          </cell>
          <cell r="C3">
            <v>35827</v>
          </cell>
          <cell r="D3">
            <v>35855</v>
          </cell>
          <cell r="E3">
            <v>35886</v>
          </cell>
          <cell r="F3">
            <v>35916</v>
          </cell>
          <cell r="G3">
            <v>35947</v>
          </cell>
          <cell r="H3">
            <v>35977</v>
          </cell>
          <cell r="I3">
            <v>36008</v>
          </cell>
          <cell r="J3">
            <v>36039</v>
          </cell>
          <cell r="K3">
            <v>36069</v>
          </cell>
          <cell r="L3">
            <v>36100</v>
          </cell>
          <cell r="M3">
            <v>36130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"/>
      <sheetName val="Acumulado Anual '02"/>
      <sheetName val="AmarreNominaDic"/>
      <sheetName val="Amarre de Nomina"/>
      <sheetName val="Rev. analitica Sueldos."/>
      <sheetName val="Contratac.2002"/>
      <sheetName val="Finiquitos"/>
      <sheetName val=" Muestra"/>
      <sheetName val="SDI"/>
      <sheetName val="IMSS"/>
      <sheetName val="SAR, INFONAVIT"/>
      <sheetName val="ISPT"/>
      <sheetName val="Subsidio"/>
      <sheetName val="Expectativa"/>
      <sheetName val="XREF"/>
      <sheetName val="Tickmarks"/>
      <sheetName val="#REF"/>
      <sheetName val="inpc"/>
      <sheetName val="IMSS1"/>
    </sheetNames>
    <sheetDataSet>
      <sheetData sheetId="0">
        <row r="10">
          <cell r="A10">
            <v>1881808.96</v>
          </cell>
        </row>
      </sheetData>
      <sheetData sheetId="1">
        <row r="10">
          <cell r="A10">
            <v>1881808.96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10">
            <v>1881808.96</v>
          </cell>
        </row>
      </sheetData>
      <sheetData sheetId="14">
        <row r="10">
          <cell r="A10">
            <v>1881808.96</v>
          </cell>
        </row>
      </sheetData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INPC"/>
      <sheetName val="T.C.99"/>
      <sheetName val="ENERO"/>
      <sheetName val="FEBRERO"/>
      <sheetName val="MARZO"/>
      <sheetName val="ABRIL"/>
      <sheetName val="MAYO"/>
      <sheetName val="JUNIO"/>
      <sheetName val="JULIO (2)"/>
      <sheetName val="AGOSTO (2)"/>
      <sheetName val="SEPTIEMBRE (2)"/>
      <sheetName val="OCTUBRE (2)"/>
      <sheetName val="NOVIEMBRE (2)"/>
      <sheetName val="DICIEMBRE (2)"/>
      <sheetName val="notas"/>
      <sheetName val="PÉRDIDAS"/>
      <sheetName val="RESUMEN"/>
      <sheetName val="JULIO"/>
      <sheetName val="AGOSTO"/>
      <sheetName val="SEPTIEMBRE"/>
      <sheetName val="OCTUBRE"/>
      <sheetName val="NOVIEMBRE"/>
      <sheetName val="DICIEMBRE"/>
      <sheetName val="XREF"/>
      <sheetName val="Contratac.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ENERO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LIBR INDX SEP"/>
      <sheetName val="CONC LIBR INDX DIC"/>
      <sheetName val="EQTRANSP"/>
      <sheetName val="BALANCE"/>
      <sheetName val="ACTUALIZ"/>
      <sheetName val="DEPREC"/>
      <sheetName val="INDEX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Datos"/>
      <sheetName val="SUMARIA"/>
      <sheetName val="EFECTO AJUSTE"/>
      <sheetName val="RESUMEN"/>
      <sheetName val="AJUSTE ANUAL"/>
      <sheetName val="RESUMEN SF"/>
      <sheetName val="G-P CAMBIARIA"/>
      <sheetName val="SP"/>
      <sheetName val="INTERESES USD"/>
      <sheetName val="INTERESES EURO"/>
      <sheetName val="USD"/>
      <sheetName val="EURO"/>
      <sheetName val="FIDUCIARY PLACEMENTS"/>
      <sheetName val="11.375 UNITE MEX16"/>
      <sheetName val="5.5 ALTOS 01 SRCVN"/>
      <sheetName val="INPC"/>
      <sheetName val="TC 2006"/>
      <sheetName val="TC 2007"/>
      <sheetName val="TC EURO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EURO 2007"/>
      <sheetName val="Datos"/>
      <sheetName val="Resumen"/>
      <sheetName val="Dividendos"/>
      <sheetName val="Swaps USD"/>
      <sheetName val="Bonos USD"/>
      <sheetName val="Acciones USD 7299301"/>
      <sheetName val="Private Invmt USD7299301 "/>
      <sheetName val="Private Equiy USD 7299301"/>
      <sheetName val="Miscellaneous USD 7299301"/>
      <sheetName val="TC 2005"/>
      <sheetName val="TC 2006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e Equiy USD 7299301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"/>
      <sheetName val="altas"/>
      <sheetName val="bajas"/>
      <sheetName val="MMA altas"/>
      <sheetName val="deprec. herram."/>
      <sheetName val="deprec. eq. comp."/>
      <sheetName val="deprec. eq. servicio"/>
      <sheetName val="deprec. maq. y eq."/>
      <sheetName val="deprec. muebles y enseres"/>
      <sheetName val="Deprec. edificio"/>
      <sheetName val="amarre global de la deprec."/>
      <sheetName val="activos totalmente depreciados"/>
      <sheetName val="vta. activo fijo"/>
      <sheetName val="REVISION DE LAS BAJAS"/>
      <sheetName val="Tickmarks (2)"/>
      <sheetName val="observaciones"/>
      <sheetName val="XREF"/>
      <sheetName val="Tickmarks"/>
      <sheetName val="MM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f Cred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NDARD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O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CASH USD"/>
      <sheetName val="CASH EUR"/>
      <sheetName val="Intereses USD"/>
      <sheetName val="DIVIDENDOS"/>
      <sheetName val="AAXI 2020"/>
      <sheetName val="Ganancia(pérdida)bonos"/>
      <sheetName val="ENAJENACIÓN BONOS USD"/>
      <sheetName val="VENTA ACCIONES USD, EUR Y CHF"/>
      <sheetName val="Comisiones"/>
      <sheetName val="Depósitos"/>
      <sheetName val="Reducción fondos"/>
      <sheetName val="T.C.2020"/>
      <sheetName val="T.C. 2019"/>
      <sheetName val="INPC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B8" t="str">
            <v>DIA</v>
          </cell>
          <cell r="C8" t="str">
            <v>ENERO</v>
          </cell>
          <cell r="D8" t="str">
            <v>FEBRERO</v>
          </cell>
          <cell r="E8" t="str">
            <v>MARZO</v>
          </cell>
          <cell r="F8" t="str">
            <v>ABRIL</v>
          </cell>
          <cell r="G8" t="str">
            <v>MAYO</v>
          </cell>
          <cell r="H8" t="str">
            <v>JUNIO</v>
          </cell>
          <cell r="I8" t="str">
            <v>JULIO</v>
          </cell>
          <cell r="J8" t="str">
            <v>AGOSTO</v>
          </cell>
          <cell r="K8" t="str">
            <v>SEPTIEMBRE</v>
          </cell>
          <cell r="L8" t="str">
            <v>OCTUBRE</v>
          </cell>
          <cell r="M8" t="str">
            <v>NOVIEMBRE</v>
          </cell>
          <cell r="N8" t="str">
            <v>DICIEMBRE</v>
          </cell>
        </row>
        <row r="9">
          <cell r="B9">
            <v>1</v>
          </cell>
          <cell r="C9">
            <v>18.872699999999998</v>
          </cell>
          <cell r="D9">
            <v>18.785299999999999</v>
          </cell>
          <cell r="E9">
            <v>19.397300000000001</v>
          </cell>
          <cell r="F9">
            <v>24.285299999999999</v>
          </cell>
          <cell r="G9">
            <v>24.0002</v>
          </cell>
          <cell r="H9">
            <v>22.204000000000001</v>
          </cell>
          <cell r="I9">
            <v>23.1325</v>
          </cell>
          <cell r="J9">
            <v>22.172699999999999</v>
          </cell>
          <cell r="K9">
            <v>21.860199999999999</v>
          </cell>
          <cell r="L9">
            <v>22.3598</v>
          </cell>
          <cell r="M9">
            <v>21.376999999999999</v>
          </cell>
          <cell r="N9">
            <v>20.0777</v>
          </cell>
        </row>
        <row r="10">
          <cell r="B10">
            <v>2</v>
          </cell>
          <cell r="C10">
            <v>18.872699999999998</v>
          </cell>
          <cell r="D10">
            <v>18.785299999999999</v>
          </cell>
          <cell r="E10">
            <v>19.397300000000001</v>
          </cell>
          <cell r="F10">
            <v>23.4847</v>
          </cell>
          <cell r="G10">
            <v>24.0002</v>
          </cell>
          <cell r="H10">
            <v>22.177800000000001</v>
          </cell>
          <cell r="I10">
            <v>23.089300000000001</v>
          </cell>
          <cell r="J10">
            <v>22.172699999999999</v>
          </cell>
          <cell r="K10">
            <v>21.888000000000002</v>
          </cell>
          <cell r="L10">
            <v>22.143799999999999</v>
          </cell>
          <cell r="M10">
            <v>21.376999999999999</v>
          </cell>
          <cell r="N10">
            <v>20.139800000000001</v>
          </cell>
        </row>
        <row r="11">
          <cell r="B11">
            <v>3</v>
          </cell>
          <cell r="C11">
            <v>18.8642</v>
          </cell>
          <cell r="D11">
            <v>18.785299999999999</v>
          </cell>
          <cell r="E11">
            <v>19.776</v>
          </cell>
          <cell r="F11">
            <v>24.491800000000001</v>
          </cell>
          <cell r="G11">
            <v>24.0002</v>
          </cell>
          <cell r="H11">
            <v>22.0168</v>
          </cell>
          <cell r="I11">
            <v>22.8078</v>
          </cell>
          <cell r="J11">
            <v>22.172699999999999</v>
          </cell>
          <cell r="K11">
            <v>21.744499999999999</v>
          </cell>
          <cell r="L11">
            <v>21.956199999999999</v>
          </cell>
          <cell r="M11">
            <v>21.376999999999999</v>
          </cell>
          <cell r="N11">
            <v>20.050799999999999</v>
          </cell>
        </row>
        <row r="12">
          <cell r="B12">
            <v>4</v>
          </cell>
          <cell r="C12">
            <v>18.881699999999999</v>
          </cell>
          <cell r="D12">
            <v>18.785299999999999</v>
          </cell>
          <cell r="E12">
            <v>19.698499999999999</v>
          </cell>
          <cell r="F12">
            <v>24.108699999999999</v>
          </cell>
          <cell r="G12">
            <v>24.0002</v>
          </cell>
          <cell r="H12">
            <v>21.682700000000001</v>
          </cell>
          <cell r="I12">
            <v>22.522500000000001</v>
          </cell>
          <cell r="J12">
            <v>22.2012</v>
          </cell>
          <cell r="K12">
            <v>21.839300000000001</v>
          </cell>
          <cell r="L12">
            <v>21.956199999999999</v>
          </cell>
          <cell r="M12">
            <v>21.250800000000002</v>
          </cell>
          <cell r="N12">
            <v>20.049700000000001</v>
          </cell>
        </row>
        <row r="13">
          <cell r="B13">
            <v>5</v>
          </cell>
          <cell r="C13">
            <v>18.881699999999999</v>
          </cell>
          <cell r="D13">
            <v>18.908200000000001</v>
          </cell>
          <cell r="E13">
            <v>19.2837</v>
          </cell>
          <cell r="F13">
            <v>24.108699999999999</v>
          </cell>
          <cell r="G13">
            <v>23.9283</v>
          </cell>
          <cell r="H13">
            <v>21.604299999999999</v>
          </cell>
          <cell r="I13">
            <v>22.522500000000001</v>
          </cell>
          <cell r="J13">
            <v>22.614000000000001</v>
          </cell>
          <cell r="K13">
            <v>21.638300000000001</v>
          </cell>
          <cell r="L13">
            <v>21.956199999999999</v>
          </cell>
          <cell r="M13">
            <v>21.1555</v>
          </cell>
          <cell r="N13">
            <v>19.908300000000001</v>
          </cell>
        </row>
        <row r="14">
          <cell r="B14">
            <v>6</v>
          </cell>
          <cell r="C14">
            <v>18.881699999999999</v>
          </cell>
          <cell r="D14">
            <v>18.6797</v>
          </cell>
          <cell r="E14">
            <v>19.5335</v>
          </cell>
          <cell r="F14">
            <v>24.108699999999999</v>
          </cell>
          <cell r="G14">
            <v>24.3812</v>
          </cell>
          <cell r="H14">
            <v>21.838799999999999</v>
          </cell>
          <cell r="I14">
            <v>22.522500000000001</v>
          </cell>
          <cell r="J14">
            <v>22.784500000000001</v>
          </cell>
          <cell r="K14">
            <v>21.638300000000001</v>
          </cell>
          <cell r="L14">
            <v>21.702500000000001</v>
          </cell>
          <cell r="M14">
            <v>21.034500000000001</v>
          </cell>
          <cell r="N14">
            <v>19.908300000000001</v>
          </cell>
        </row>
        <row r="15">
          <cell r="B15">
            <v>7</v>
          </cell>
          <cell r="C15">
            <v>18.8673</v>
          </cell>
          <cell r="D15">
            <v>18.624500000000001</v>
          </cell>
          <cell r="E15">
            <v>19.8095</v>
          </cell>
          <cell r="F15">
            <v>24.6938</v>
          </cell>
          <cell r="G15">
            <v>23.834299999999999</v>
          </cell>
          <cell r="H15">
            <v>21.838799999999999</v>
          </cell>
          <cell r="I15">
            <v>22.4147</v>
          </cell>
          <cell r="J15">
            <v>22.4068</v>
          </cell>
          <cell r="K15">
            <v>21.638300000000001</v>
          </cell>
          <cell r="L15">
            <v>21.396000000000001</v>
          </cell>
          <cell r="M15">
            <v>20.761199999999999</v>
          </cell>
          <cell r="N15">
            <v>19.908300000000001</v>
          </cell>
        </row>
        <row r="16">
          <cell r="B16">
            <v>8</v>
          </cell>
          <cell r="C16">
            <v>18.827000000000002</v>
          </cell>
          <cell r="D16">
            <v>18.6645</v>
          </cell>
          <cell r="E16">
            <v>19.8095</v>
          </cell>
          <cell r="F16">
            <v>24.689499999999999</v>
          </cell>
          <cell r="G16">
            <v>24.2942</v>
          </cell>
          <cell r="H16">
            <v>21.838799999999999</v>
          </cell>
          <cell r="I16">
            <v>22.280799999999999</v>
          </cell>
          <cell r="J16">
            <v>22.365200000000002</v>
          </cell>
          <cell r="K16">
            <v>21.611499999999999</v>
          </cell>
          <cell r="L16">
            <v>21.450700000000001</v>
          </cell>
          <cell r="M16">
            <v>20.761199999999999</v>
          </cell>
          <cell r="N16">
            <v>19.783799999999999</v>
          </cell>
        </row>
        <row r="17">
          <cell r="B17">
            <v>9</v>
          </cell>
          <cell r="C17">
            <v>18.885200000000001</v>
          </cell>
          <cell r="D17">
            <v>18.6645</v>
          </cell>
          <cell r="E17">
            <v>19.8095</v>
          </cell>
          <cell r="F17">
            <v>24.038799999999998</v>
          </cell>
          <cell r="G17">
            <v>24.0563</v>
          </cell>
          <cell r="H17">
            <v>21.5837</v>
          </cell>
          <cell r="I17">
            <v>22.621300000000002</v>
          </cell>
          <cell r="J17">
            <v>22.365200000000002</v>
          </cell>
          <cell r="K17">
            <v>21.588699999999999</v>
          </cell>
          <cell r="L17">
            <v>21.492999999999999</v>
          </cell>
          <cell r="M17">
            <v>20.761199999999999</v>
          </cell>
          <cell r="N17">
            <v>19.821300000000001</v>
          </cell>
        </row>
        <row r="18">
          <cell r="B18">
            <v>10</v>
          </cell>
          <cell r="C18">
            <v>18.797999999999998</v>
          </cell>
          <cell r="D18">
            <v>18.6645</v>
          </cell>
          <cell r="E18">
            <v>20.162299999999998</v>
          </cell>
          <cell r="F18">
            <v>24.038799999999998</v>
          </cell>
          <cell r="G18">
            <v>24.0563</v>
          </cell>
          <cell r="H18">
            <v>21.655200000000001</v>
          </cell>
          <cell r="I18">
            <v>22.822500000000002</v>
          </cell>
          <cell r="J18">
            <v>22.365200000000002</v>
          </cell>
          <cell r="K18">
            <v>21.713799999999999</v>
          </cell>
          <cell r="L18">
            <v>21.431799999999999</v>
          </cell>
          <cell r="M18">
            <v>20.62</v>
          </cell>
          <cell r="N18">
            <v>19.753699999999998</v>
          </cell>
        </row>
        <row r="19">
          <cell r="B19">
            <v>11</v>
          </cell>
          <cell r="C19">
            <v>18.845300000000002</v>
          </cell>
          <cell r="D19">
            <v>18.776299999999999</v>
          </cell>
          <cell r="E19">
            <v>21.111699999999999</v>
          </cell>
          <cell r="F19">
            <v>24.038799999999998</v>
          </cell>
          <cell r="G19">
            <v>24.0563</v>
          </cell>
          <cell r="H19">
            <v>21.725200000000001</v>
          </cell>
          <cell r="I19">
            <v>22.694500000000001</v>
          </cell>
          <cell r="J19">
            <v>22.4892</v>
          </cell>
          <cell r="K19">
            <v>21.537700000000001</v>
          </cell>
          <cell r="L19">
            <v>21.431799999999999</v>
          </cell>
          <cell r="M19">
            <v>20.36</v>
          </cell>
          <cell r="N19">
            <v>19.8368</v>
          </cell>
        </row>
        <row r="20">
          <cell r="B20">
            <v>12</v>
          </cell>
          <cell r="C20">
            <v>18.845300000000002</v>
          </cell>
          <cell r="D20">
            <v>18.7653</v>
          </cell>
          <cell r="E20">
            <v>21.026700000000002</v>
          </cell>
          <cell r="F20">
            <v>24.038799999999998</v>
          </cell>
          <cell r="G20">
            <v>23.680499999999999</v>
          </cell>
          <cell r="H20">
            <v>21.922999999999998</v>
          </cell>
          <cell r="I20">
            <v>22.694500000000001</v>
          </cell>
          <cell r="J20">
            <v>22.484999999999999</v>
          </cell>
          <cell r="K20">
            <v>21.2773</v>
          </cell>
          <cell r="L20">
            <v>21.431799999999999</v>
          </cell>
          <cell r="M20">
            <v>20.401800000000001</v>
          </cell>
          <cell r="N20">
            <v>19.9572</v>
          </cell>
        </row>
        <row r="21">
          <cell r="B21">
            <v>13</v>
          </cell>
          <cell r="C21">
            <v>18.845300000000002</v>
          </cell>
          <cell r="D21">
            <v>18.673999999999999</v>
          </cell>
          <cell r="E21">
            <v>21.213000000000001</v>
          </cell>
          <cell r="F21">
            <v>24.038799999999998</v>
          </cell>
          <cell r="G21">
            <v>23.869299999999999</v>
          </cell>
          <cell r="H21">
            <v>22.4252</v>
          </cell>
          <cell r="I21">
            <v>22.694500000000001</v>
          </cell>
          <cell r="J21">
            <v>22.349</v>
          </cell>
          <cell r="K21">
            <v>21.2773</v>
          </cell>
          <cell r="L21">
            <v>21.182200000000002</v>
          </cell>
          <cell r="M21">
            <v>20.577200000000001</v>
          </cell>
          <cell r="N21">
            <v>19.9572</v>
          </cell>
        </row>
        <row r="22">
          <cell r="B22">
            <v>14</v>
          </cell>
          <cell r="C22">
            <v>18.773199999999999</v>
          </cell>
          <cell r="D22">
            <v>18.630800000000001</v>
          </cell>
          <cell r="E22">
            <v>22.151800000000001</v>
          </cell>
          <cell r="F22">
            <v>24.092500000000001</v>
          </cell>
          <cell r="G22">
            <v>24.0487</v>
          </cell>
          <cell r="H22">
            <v>22.4252</v>
          </cell>
          <cell r="I22">
            <v>22.534199999999998</v>
          </cell>
          <cell r="J22">
            <v>22.345700000000001</v>
          </cell>
          <cell r="K22">
            <v>21.2773</v>
          </cell>
          <cell r="L22">
            <v>21.218299999999999</v>
          </cell>
          <cell r="M22">
            <v>20.5303</v>
          </cell>
          <cell r="N22">
            <v>19.9572</v>
          </cell>
        </row>
        <row r="23">
          <cell r="B23">
            <v>15</v>
          </cell>
          <cell r="C23">
            <v>18.8215</v>
          </cell>
          <cell r="D23">
            <v>18.645800000000001</v>
          </cell>
          <cell r="E23">
            <v>22.151800000000001</v>
          </cell>
          <cell r="F23">
            <v>23.742699999999999</v>
          </cell>
          <cell r="G23">
            <v>24.211300000000001</v>
          </cell>
          <cell r="H23">
            <v>22.4252</v>
          </cell>
          <cell r="I23">
            <v>22.4633</v>
          </cell>
          <cell r="J23">
            <v>22.262799999999999</v>
          </cell>
          <cell r="K23">
            <v>21.321000000000002</v>
          </cell>
          <cell r="L23">
            <v>21.367699999999999</v>
          </cell>
          <cell r="M23">
            <v>20.5303</v>
          </cell>
          <cell r="N23">
            <v>20.107500000000002</v>
          </cell>
        </row>
        <row r="24">
          <cell r="B24">
            <v>16</v>
          </cell>
          <cell r="C24">
            <v>18.812000000000001</v>
          </cell>
          <cell r="D24">
            <v>18.645800000000001</v>
          </cell>
          <cell r="E24">
            <v>22.151800000000001</v>
          </cell>
          <cell r="F24">
            <v>23.564499999999999</v>
          </cell>
          <cell r="G24">
            <v>24.270800000000001</v>
          </cell>
          <cell r="H24">
            <v>22.334700000000002</v>
          </cell>
          <cell r="I24">
            <v>22.6173</v>
          </cell>
          <cell r="J24">
            <v>22.262799999999999</v>
          </cell>
          <cell r="K24">
            <v>21.072800000000001</v>
          </cell>
          <cell r="L24">
            <v>21.299800000000001</v>
          </cell>
          <cell r="M24">
            <v>20.5303</v>
          </cell>
          <cell r="N24">
            <v>20.177800000000001</v>
          </cell>
        </row>
        <row r="25">
          <cell r="B25">
            <v>17</v>
          </cell>
          <cell r="C25">
            <v>18.807700000000001</v>
          </cell>
          <cell r="D25">
            <v>18.645800000000001</v>
          </cell>
          <cell r="E25">
            <v>22.151800000000001</v>
          </cell>
          <cell r="F25">
            <v>24.115500000000001</v>
          </cell>
          <cell r="G25">
            <v>24.270800000000001</v>
          </cell>
          <cell r="H25">
            <v>22.543500000000002</v>
          </cell>
          <cell r="I25">
            <v>22.364699999999999</v>
          </cell>
          <cell r="J25">
            <v>22.262799999999999</v>
          </cell>
          <cell r="K25">
            <v>21.072800000000001</v>
          </cell>
          <cell r="L25">
            <v>21.383199999999999</v>
          </cell>
          <cell r="M25">
            <v>20.5303</v>
          </cell>
          <cell r="N25">
            <v>20.1113</v>
          </cell>
        </row>
        <row r="26">
          <cell r="B26">
            <v>18</v>
          </cell>
          <cell r="C26">
            <v>18.792999999999999</v>
          </cell>
          <cell r="D26">
            <v>18.571200000000001</v>
          </cell>
          <cell r="E26">
            <v>21.928799999999999</v>
          </cell>
          <cell r="F26">
            <v>24.209800000000001</v>
          </cell>
          <cell r="G26">
            <v>24.270800000000001</v>
          </cell>
          <cell r="H26">
            <v>22.216799999999999</v>
          </cell>
          <cell r="I26">
            <v>22.3032</v>
          </cell>
          <cell r="J26">
            <v>22.031300000000002</v>
          </cell>
          <cell r="K26">
            <v>21.069199999999999</v>
          </cell>
          <cell r="L26">
            <v>21.383199999999999</v>
          </cell>
          <cell r="M26">
            <v>20.4833</v>
          </cell>
          <cell r="N26">
            <v>19.9513</v>
          </cell>
        </row>
        <row r="27">
          <cell r="B27">
            <v>19</v>
          </cell>
          <cell r="C27">
            <v>18.792999999999999</v>
          </cell>
          <cell r="D27">
            <v>18.5715</v>
          </cell>
          <cell r="E27">
            <v>23.057300000000001</v>
          </cell>
          <cell r="F27">
            <v>24.209800000000001</v>
          </cell>
          <cell r="G27">
            <v>23.957999999999998</v>
          </cell>
          <cell r="H27">
            <v>22.278300000000002</v>
          </cell>
          <cell r="I27">
            <v>22.3032</v>
          </cell>
          <cell r="J27">
            <v>22.056999999999999</v>
          </cell>
          <cell r="K27">
            <v>20.984999999999999</v>
          </cell>
          <cell r="L27">
            <v>21.383199999999999</v>
          </cell>
          <cell r="M27">
            <v>20.321200000000001</v>
          </cell>
          <cell r="N27">
            <v>19.817299999999999</v>
          </cell>
        </row>
        <row r="28">
          <cell r="B28">
            <v>20</v>
          </cell>
          <cell r="C28">
            <v>18.792999999999999</v>
          </cell>
          <cell r="D28">
            <v>18.595199999999998</v>
          </cell>
          <cell r="E28">
            <v>23.9008</v>
          </cell>
          <cell r="F28">
            <v>24.209800000000001</v>
          </cell>
          <cell r="G28">
            <v>23.603200000000001</v>
          </cell>
          <cell r="H28">
            <v>22.608799999999999</v>
          </cell>
          <cell r="I28">
            <v>22.3032</v>
          </cell>
          <cell r="J28">
            <v>22.153500000000001</v>
          </cell>
          <cell r="K28">
            <v>20.984999999999999</v>
          </cell>
          <cell r="L28">
            <v>21.176500000000001</v>
          </cell>
          <cell r="M28">
            <v>20.238800000000001</v>
          </cell>
          <cell r="N28">
            <v>19.817299999999999</v>
          </cell>
        </row>
        <row r="29">
          <cell r="B29">
            <v>21</v>
          </cell>
          <cell r="C29">
            <v>18.738800000000001</v>
          </cell>
          <cell r="D29">
            <v>18.591000000000001</v>
          </cell>
          <cell r="E29">
            <v>24.0868</v>
          </cell>
          <cell r="F29">
            <v>23.901199999999999</v>
          </cell>
          <cell r="G29">
            <v>23.6023</v>
          </cell>
          <cell r="H29">
            <v>22.608799999999999</v>
          </cell>
          <cell r="I29">
            <v>22.489699999999999</v>
          </cell>
          <cell r="J29">
            <v>22.052700000000002</v>
          </cell>
          <cell r="K29">
            <v>20.984999999999999</v>
          </cell>
          <cell r="L29">
            <v>21.1342</v>
          </cell>
          <cell r="M29">
            <v>20.1858</v>
          </cell>
          <cell r="N29">
            <v>19.817299999999999</v>
          </cell>
        </row>
        <row r="30">
          <cell r="B30">
            <v>22</v>
          </cell>
          <cell r="C30">
            <v>18.672499999999999</v>
          </cell>
          <cell r="D30">
            <v>18.799199999999999</v>
          </cell>
          <cell r="E30">
            <v>24.0868</v>
          </cell>
          <cell r="F30">
            <v>24.0077</v>
          </cell>
          <cell r="G30">
            <v>23.296199999999999</v>
          </cell>
          <cell r="H30">
            <v>22.608799999999999</v>
          </cell>
          <cell r="I30">
            <v>22.627800000000001</v>
          </cell>
          <cell r="J30">
            <v>22.175999999999998</v>
          </cell>
          <cell r="K30">
            <v>20.9697</v>
          </cell>
          <cell r="L30">
            <v>21.090199999999999</v>
          </cell>
          <cell r="M30">
            <v>20.1858</v>
          </cell>
          <cell r="N30">
            <v>19.948699999999999</v>
          </cell>
        </row>
        <row r="31">
          <cell r="B31">
            <v>23</v>
          </cell>
          <cell r="C31">
            <v>18.700700000000001</v>
          </cell>
          <cell r="D31">
            <v>18.799199999999999</v>
          </cell>
          <cell r="E31">
            <v>24.0868</v>
          </cell>
          <cell r="F31">
            <v>24.424800000000001</v>
          </cell>
          <cell r="G31">
            <v>22.96</v>
          </cell>
          <cell r="H31">
            <v>22.63</v>
          </cell>
          <cell r="I31">
            <v>22.3597</v>
          </cell>
          <cell r="J31">
            <v>22.175999999999998</v>
          </cell>
          <cell r="K31">
            <v>21.504999999999999</v>
          </cell>
          <cell r="L31">
            <v>21.064</v>
          </cell>
          <cell r="M31">
            <v>20.1858</v>
          </cell>
          <cell r="N31">
            <v>20.090499999999999</v>
          </cell>
        </row>
        <row r="32">
          <cell r="B32">
            <v>24</v>
          </cell>
          <cell r="C32">
            <v>18.688300000000002</v>
          </cell>
          <cell r="D32">
            <v>18.799199999999999</v>
          </cell>
          <cell r="E32">
            <v>24.1113</v>
          </cell>
          <cell r="F32">
            <v>24.5883</v>
          </cell>
          <cell r="G32">
            <v>22.96</v>
          </cell>
          <cell r="H32">
            <v>22.441299999999998</v>
          </cell>
          <cell r="I32">
            <v>22.251000000000001</v>
          </cell>
          <cell r="J32">
            <v>22.175999999999998</v>
          </cell>
          <cell r="K32">
            <v>21.568200000000001</v>
          </cell>
          <cell r="L32">
            <v>21.03</v>
          </cell>
          <cell r="M32">
            <v>20.1172</v>
          </cell>
          <cell r="N32">
            <v>20.0562</v>
          </cell>
        </row>
        <row r="33">
          <cell r="B33">
            <v>25</v>
          </cell>
          <cell r="C33">
            <v>18.8018</v>
          </cell>
          <cell r="D33">
            <v>18.913799999999998</v>
          </cell>
          <cell r="E33">
            <v>25.078199999999999</v>
          </cell>
          <cell r="F33">
            <v>24.623000000000001</v>
          </cell>
          <cell r="G33">
            <v>22.96</v>
          </cell>
          <cell r="H33">
            <v>22.413</v>
          </cell>
          <cell r="I33">
            <v>22.3627</v>
          </cell>
          <cell r="J33">
            <v>22.036200000000001</v>
          </cell>
          <cell r="K33">
            <v>22.089700000000001</v>
          </cell>
          <cell r="L33">
            <v>21.03</v>
          </cell>
          <cell r="M33">
            <v>20.101199999999999</v>
          </cell>
          <cell r="N33">
            <v>20.1175</v>
          </cell>
        </row>
        <row r="34">
          <cell r="B34">
            <v>26</v>
          </cell>
          <cell r="C34">
            <v>18.8018</v>
          </cell>
          <cell r="D34">
            <v>19.119700000000002</v>
          </cell>
          <cell r="E34">
            <v>25.118500000000001</v>
          </cell>
          <cell r="F34">
            <v>24.623000000000001</v>
          </cell>
          <cell r="G34">
            <v>22.7928</v>
          </cell>
          <cell r="H34">
            <v>22.6662</v>
          </cell>
          <cell r="I34">
            <v>22.3627</v>
          </cell>
          <cell r="J34">
            <v>21.984000000000002</v>
          </cell>
          <cell r="K34">
            <v>22.367799999999999</v>
          </cell>
          <cell r="L34">
            <v>21.03</v>
          </cell>
          <cell r="M34">
            <v>20.057700000000001</v>
          </cell>
          <cell r="N34">
            <v>20.1175</v>
          </cell>
        </row>
        <row r="35">
          <cell r="B35">
            <v>27</v>
          </cell>
          <cell r="C35">
            <v>18.8018</v>
          </cell>
          <cell r="D35">
            <v>19.087800000000001</v>
          </cell>
          <cell r="E35">
            <v>24.294799999999999</v>
          </cell>
          <cell r="F35">
            <v>24.623000000000001</v>
          </cell>
          <cell r="G35">
            <v>22.562999999999999</v>
          </cell>
          <cell r="H35">
            <v>22.796299999999999</v>
          </cell>
          <cell r="I35">
            <v>22.3627</v>
          </cell>
          <cell r="J35">
            <v>21.972300000000001</v>
          </cell>
          <cell r="K35">
            <v>22.367799999999999</v>
          </cell>
          <cell r="L35">
            <v>20.920500000000001</v>
          </cell>
          <cell r="M35">
            <v>20.046500000000002</v>
          </cell>
          <cell r="N35">
            <v>20.1175</v>
          </cell>
        </row>
        <row r="36">
          <cell r="B36">
            <v>28</v>
          </cell>
          <cell r="C36">
            <v>18.831299999999999</v>
          </cell>
          <cell r="D36">
            <v>19.1585</v>
          </cell>
          <cell r="E36">
            <v>23.097000000000001</v>
          </cell>
          <cell r="F36">
            <v>24.8583</v>
          </cell>
          <cell r="G36">
            <v>22.293199999999999</v>
          </cell>
          <cell r="H36">
            <v>22.796299999999999</v>
          </cell>
          <cell r="I36">
            <v>22.3842</v>
          </cell>
          <cell r="J36">
            <v>21.920200000000001</v>
          </cell>
          <cell r="K36">
            <v>22.367799999999999</v>
          </cell>
          <cell r="L36">
            <v>20.9818</v>
          </cell>
          <cell r="M36">
            <v>20.046700000000001</v>
          </cell>
          <cell r="N36">
            <v>20.1175</v>
          </cell>
        </row>
        <row r="37">
          <cell r="B37">
            <v>29</v>
          </cell>
          <cell r="C37">
            <v>18.9407</v>
          </cell>
          <cell r="D37">
            <v>19.397300000000001</v>
          </cell>
          <cell r="E37">
            <v>23.097000000000001</v>
          </cell>
          <cell r="F37">
            <v>24.8492</v>
          </cell>
          <cell r="G37">
            <v>22.363299999999999</v>
          </cell>
          <cell r="H37">
            <v>22.796299999999999</v>
          </cell>
          <cell r="I37">
            <v>22.0275</v>
          </cell>
          <cell r="J37">
            <v>22.116800000000001</v>
          </cell>
          <cell r="K37">
            <v>22.440200000000001</v>
          </cell>
          <cell r="L37">
            <v>20.879799999999999</v>
          </cell>
          <cell r="M37">
            <v>20.046700000000001</v>
          </cell>
          <cell r="N37">
            <v>19.851700000000001</v>
          </cell>
        </row>
        <row r="38">
          <cell r="B38">
            <v>30</v>
          </cell>
          <cell r="C38">
            <v>18.802199999999999</v>
          </cell>
          <cell r="E38">
            <v>23.097000000000001</v>
          </cell>
          <cell r="F38">
            <v>24.388200000000001</v>
          </cell>
          <cell r="G38">
            <v>22.204000000000001</v>
          </cell>
          <cell r="H38">
            <v>22.971499999999999</v>
          </cell>
          <cell r="I38">
            <v>21.961500000000001</v>
          </cell>
          <cell r="J38">
            <v>22.116800000000001</v>
          </cell>
          <cell r="K38">
            <v>22.4573</v>
          </cell>
          <cell r="L38">
            <v>21.1648</v>
          </cell>
          <cell r="M38">
            <v>20.046700000000001</v>
          </cell>
          <cell r="N38">
            <v>20.047699999999999</v>
          </cell>
        </row>
        <row r="39">
          <cell r="B39">
            <v>31</v>
          </cell>
          <cell r="C39">
            <v>18.706700000000001</v>
          </cell>
          <cell r="E39">
            <v>23.5122</v>
          </cell>
          <cell r="G39">
            <v>22.204000000000001</v>
          </cell>
          <cell r="I39">
            <v>21.9907</v>
          </cell>
          <cell r="J39">
            <v>22.116800000000001</v>
          </cell>
          <cell r="L39">
            <v>21.376999999999999</v>
          </cell>
          <cell r="N39">
            <v>19.948699999999999</v>
          </cell>
        </row>
      </sheetData>
      <sheetData sheetId="14" refreshError="1"/>
      <sheetData sheetId="1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2006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RO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ia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didas fiscales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1ER SEM."/>
      <sheetName val="ISPT 2DO. SEM."/>
      <sheetName val="Vaciado"/>
      <sheetName val="XREF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2DO. SEM.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I"/>
      <sheetName val="ISPT"/>
      <sheetName val="RevAnalítica"/>
      <sheetName val="Muestra"/>
      <sheetName val="Amarre de Nóminas vs Con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2"/>
    </sheetNames>
    <definedNames>
      <definedName name="Unidades"/>
    </defined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uda"/>
      <sheetName val="Menú"/>
      <sheetName val="Deterefis"/>
      <sheetName val="Concil"/>
      <sheetName val="Edoresfiscont"/>
      <sheetName val="Deducción"/>
      <sheetName val="IngISR"/>
      <sheetName val="IngIVA"/>
      <sheetName val="Cpras"/>
      <sheetName val="Difeinvent"/>
      <sheetName val="CIC"/>
      <sheetName val="CICE"/>
      <sheetName val="CID"/>
      <sheetName val="CIDE"/>
      <sheetName val="IntsFavor"/>
      <sheetName val="IntsCargo"/>
      <sheetName val="No deducibles"/>
      <sheetName val="Pagoprov"/>
      <sheetName val="Reg_Bonos"/>
      <sheetName val="DepFisc"/>
      <sheetName val="Sheet19"/>
      <sheetName val="Hon"/>
      <sheetName val="Sheet22"/>
      <sheetName val="Anexo_31"/>
      <sheetName val="XREF"/>
      <sheetName val="Tickmarks"/>
      <sheetName val="Module2"/>
      <sheetName val="Module1"/>
      <sheetName val="BALANZA  2006"/>
      <sheetName val="bm_gcons2008"/>
      <sheetName val="Calculos I.S.R."/>
      <sheetName val="INPC"/>
      <sheetName val="Perdidas fiscales"/>
      <sheetName val="Links"/>
      <sheetName val="Pagos Provisionales IVA 2006"/>
      <sheetName val="TC USD 2011"/>
      <sheetName val="Worksheet in 8710 Conciliación "/>
      <sheetName val="Lead"/>
      <sheetName val="TIPO CAMBIO"/>
      <sheetName val="ENERO"/>
      <sheetName val="balance"/>
      <sheetName val="ANALI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"/>
      <sheetName val="Ejemplo (2)"/>
      <sheetName val="Honorarios Asimilables a Sueldo"/>
      <sheetName val="ISPT - Asimilables"/>
      <sheetName val="Tablas 05"/>
      <sheetName val="Servicios Profesionales"/>
      <sheetName val="Revisión Amarre"/>
      <sheetName val="Finiquitos"/>
      <sheetName val="ISPT - Finiquitos"/>
      <sheetName val="XREF"/>
      <sheetName val="Tickmarks"/>
      <sheetName val="Anexo_31"/>
      <sheetName val="IngISR"/>
      <sheetName val="Amarre (7 CEDULAS)"/>
      <sheetName val="6423"/>
      <sheetName val="6420"/>
      <sheetName val="Pagos Provisionales IVA 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- Asimilable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tegración"/>
      <sheetName val="Nóminas"/>
      <sheetName val="Impuestos"/>
      <sheetName val="Depreciación"/>
      <sheetName val="Revisión gastos"/>
      <sheetName val="Regalías"/>
      <sheetName val="XREF"/>
      <sheetName val="Tickmarks"/>
      <sheetName val="Amarre nóminas"/>
      <sheetName val="IMSS, SAR, INFONAVIT"/>
      <sheetName val="INPC"/>
      <sheetName val="RevAnalític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 ACTIVO FIJO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. nom. por emp.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dofISCAL"/>
      <sheetName val="CONCILIAC. FISC"/>
      <sheetName val="PTU "/>
      <sheetName val="PERDIDAS FISCALES"/>
      <sheetName val="Ajuste Anual Por Inflacion"/>
      <sheetName val="XREF"/>
      <sheetName val="Tickmarks"/>
      <sheetName val="PTU ART14 Y JURISP"/>
      <sheetName val="RevAnalítica"/>
      <sheetName val="Acum. nom. por em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4F1-346A-4B2A-AC25-5D17F1D97E05}">
  <dimension ref="A1:D35"/>
  <sheetViews>
    <sheetView tabSelected="1" workbookViewId="0">
      <selection activeCell="M15" sqref="M15"/>
    </sheetView>
  </sheetViews>
  <sheetFormatPr baseColWidth="10" defaultRowHeight="15" x14ac:dyDescent="0.25"/>
  <cols>
    <col min="1" max="1" width="34.28515625" customWidth="1"/>
    <col min="2" max="2" width="21.5703125" style="52" customWidth="1"/>
    <col min="3" max="3" width="14.140625" bestFit="1" customWidth="1"/>
    <col min="4" max="4" width="13.140625" bestFit="1" customWidth="1"/>
  </cols>
  <sheetData>
    <row r="1" spans="1:1" x14ac:dyDescent="0.25">
      <c r="A1" s="51" t="s">
        <v>31</v>
      </c>
    </row>
    <row r="22" spans="3:4" x14ac:dyDescent="0.25">
      <c r="C22" s="53"/>
    </row>
    <row r="23" spans="3:4" x14ac:dyDescent="0.25">
      <c r="C23" s="53"/>
    </row>
    <row r="25" spans="3:4" x14ac:dyDescent="0.25">
      <c r="C25" s="54"/>
    </row>
    <row r="30" spans="3:4" x14ac:dyDescent="0.25">
      <c r="C30" s="56"/>
    </row>
    <row r="32" spans="3:4" x14ac:dyDescent="0.25">
      <c r="D32" s="57"/>
    </row>
    <row r="33" spans="3:3" x14ac:dyDescent="0.25">
      <c r="C33" s="57"/>
    </row>
    <row r="35" spans="3:3" x14ac:dyDescent="0.25">
      <c r="C35" s="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6C0F-0E5C-4D8A-852B-23496411CE94}">
  <dimension ref="A1:O42"/>
  <sheetViews>
    <sheetView zoomScale="85" zoomScaleNormal="85" zoomScaleSheetLayoutView="85" workbookViewId="0">
      <selection activeCell="E45" sqref="E45"/>
    </sheetView>
  </sheetViews>
  <sheetFormatPr baseColWidth="10" defaultColWidth="11.42578125" defaultRowHeight="12" x14ac:dyDescent="0.2"/>
  <cols>
    <col min="1" max="1" width="19" style="1" customWidth="1"/>
    <col min="2" max="2" width="63.42578125" style="1" customWidth="1"/>
    <col min="3" max="3" width="19.42578125" style="1" customWidth="1"/>
    <col min="4" max="4" width="16.140625" style="1" customWidth="1"/>
    <col min="5" max="5" width="17.85546875" style="1" customWidth="1"/>
    <col min="6" max="6" width="15" style="1" customWidth="1"/>
    <col min="7" max="7" width="17" style="1" customWidth="1"/>
    <col min="8" max="8" width="15.7109375" style="1" customWidth="1"/>
    <col min="9" max="9" width="16.5703125" style="1" customWidth="1"/>
    <col min="10" max="10" width="15.140625" style="1" customWidth="1"/>
    <col min="11" max="11" width="15.7109375" style="1" customWidth="1"/>
    <col min="12" max="12" width="18.7109375" style="1" customWidth="1"/>
    <col min="13" max="13" width="17" style="1" customWidth="1"/>
    <col min="14" max="14" width="15.28515625" style="1" customWidth="1"/>
    <col min="15" max="15" width="22.28515625" style="1" customWidth="1"/>
    <col min="16" max="16" width="13.42578125" style="1" bestFit="1" customWidth="1"/>
    <col min="17" max="16384" width="11.42578125" style="1"/>
  </cols>
  <sheetData>
    <row r="1" spans="1:14" x14ac:dyDescent="0.2">
      <c r="A1" s="65" t="s">
        <v>18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2">
      <c r="A2" s="66" t="s">
        <v>59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x14ac:dyDescent="0.2">
      <c r="A3" s="2"/>
      <c r="I3" s="3"/>
      <c r="J3" s="3"/>
      <c r="K3" s="3"/>
      <c r="L3" s="3"/>
      <c r="M3" s="3"/>
      <c r="N3" s="3"/>
    </row>
    <row r="4" spans="1:14" ht="12.75" thickBot="1" x14ac:dyDescent="0.25">
      <c r="B4" s="4"/>
      <c r="C4" s="5">
        <v>43101</v>
      </c>
      <c r="D4" s="5">
        <v>43132</v>
      </c>
      <c r="E4" s="5">
        <v>43160</v>
      </c>
      <c r="F4" s="5">
        <v>43191</v>
      </c>
      <c r="G4" s="5">
        <v>43221</v>
      </c>
      <c r="H4" s="5">
        <v>43252</v>
      </c>
      <c r="I4" s="5">
        <v>43282</v>
      </c>
      <c r="J4" s="5">
        <v>43313</v>
      </c>
      <c r="K4" s="5">
        <v>43344</v>
      </c>
      <c r="L4" s="5">
        <v>43374</v>
      </c>
      <c r="M4" s="5">
        <v>43405</v>
      </c>
      <c r="N4" s="5">
        <v>43435</v>
      </c>
    </row>
    <row r="5" spans="1:14" x14ac:dyDescent="0.2">
      <c r="A5" s="67" t="s">
        <v>15</v>
      </c>
      <c r="B5" s="69" t="s">
        <v>0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7" t="s">
        <v>1</v>
      </c>
    </row>
    <row r="6" spans="1:14" x14ac:dyDescent="0.2">
      <c r="A6" s="68"/>
      <c r="B6" s="70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10" t="s">
        <v>13</v>
      </c>
    </row>
    <row r="7" spans="1:14" x14ac:dyDescent="0.2">
      <c r="A7" s="36"/>
      <c r="B7" s="11" t="s">
        <v>14</v>
      </c>
      <c r="C7" s="12"/>
      <c r="D7" s="12"/>
      <c r="E7" s="12"/>
      <c r="F7" s="12"/>
      <c r="G7" s="13"/>
      <c r="H7" s="12"/>
      <c r="I7" s="12"/>
      <c r="J7" s="12"/>
      <c r="K7" s="12"/>
      <c r="L7" s="12"/>
      <c r="M7" s="12"/>
      <c r="N7" s="13"/>
    </row>
    <row r="8" spans="1:14" x14ac:dyDescent="0.2">
      <c r="A8" s="37"/>
      <c r="B8" s="14"/>
      <c r="C8" s="38"/>
      <c r="D8" s="38"/>
      <c r="E8" s="38"/>
      <c r="F8" s="38"/>
      <c r="G8" s="15"/>
      <c r="H8" s="38"/>
      <c r="I8" s="16"/>
      <c r="J8" s="16"/>
      <c r="K8" s="16"/>
      <c r="L8" s="16"/>
      <c r="M8" s="16"/>
      <c r="N8" s="17"/>
    </row>
    <row r="9" spans="1:14" x14ac:dyDescent="0.2">
      <c r="A9" s="39"/>
      <c r="B9" s="20" t="s">
        <v>19</v>
      </c>
      <c r="C9" s="38"/>
      <c r="D9" s="38"/>
      <c r="E9" s="38"/>
      <c r="F9" s="38"/>
      <c r="G9" s="15"/>
      <c r="H9" s="38"/>
      <c r="I9" s="16"/>
      <c r="J9" s="16"/>
      <c r="K9" s="16"/>
      <c r="L9" s="16"/>
      <c r="M9" s="16"/>
      <c r="N9" s="17"/>
    </row>
    <row r="10" spans="1:14" x14ac:dyDescent="0.2">
      <c r="A10" s="39"/>
      <c r="B10" s="14" t="s">
        <v>16</v>
      </c>
      <c r="C10" s="40">
        <v>2500000</v>
      </c>
      <c r="D10" s="40">
        <v>2500000</v>
      </c>
      <c r="E10" s="40">
        <v>2500000</v>
      </c>
      <c r="F10" s="40">
        <v>2500000</v>
      </c>
      <c r="G10" s="24">
        <v>2500000</v>
      </c>
      <c r="H10" s="40">
        <v>2650000</v>
      </c>
      <c r="I10" s="25">
        <v>2500000</v>
      </c>
      <c r="J10" s="25">
        <v>2500000</v>
      </c>
      <c r="K10" s="25">
        <v>2500000</v>
      </c>
      <c r="L10" s="25">
        <v>2500000</v>
      </c>
      <c r="M10" s="25">
        <v>2500000</v>
      </c>
      <c r="N10" s="26">
        <v>2500000</v>
      </c>
    </row>
    <row r="11" spans="1:14" x14ac:dyDescent="0.2">
      <c r="A11" s="39"/>
      <c r="B11" s="14" t="s">
        <v>30</v>
      </c>
      <c r="C11" s="34">
        <v>0</v>
      </c>
      <c r="D11" s="27">
        <v>0</v>
      </c>
      <c r="E11" s="27">
        <v>150000</v>
      </c>
      <c r="F11" s="27">
        <f>+E11</f>
        <v>150000</v>
      </c>
      <c r="G11" s="28">
        <f>+F11</f>
        <v>150000</v>
      </c>
      <c r="H11" s="27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30">
        <v>0</v>
      </c>
    </row>
    <row r="12" spans="1:14" x14ac:dyDescent="0.2">
      <c r="A12" s="39"/>
      <c r="B12" s="20" t="s">
        <v>24</v>
      </c>
      <c r="C12" s="41">
        <f>+SUM(C10:C11)</f>
        <v>2500000</v>
      </c>
      <c r="D12" s="42">
        <f t="shared" ref="D12:N12" si="0">+SUM(D10:D11)</f>
        <v>2500000</v>
      </c>
      <c r="E12" s="42">
        <f t="shared" si="0"/>
        <v>2650000</v>
      </c>
      <c r="F12" s="42">
        <f t="shared" si="0"/>
        <v>2650000</v>
      </c>
      <c r="G12" s="31">
        <f t="shared" si="0"/>
        <v>2650000</v>
      </c>
      <c r="H12" s="42">
        <f t="shared" si="0"/>
        <v>2650000</v>
      </c>
      <c r="I12" s="32">
        <f t="shared" si="0"/>
        <v>2500000</v>
      </c>
      <c r="J12" s="32">
        <f t="shared" si="0"/>
        <v>2500000</v>
      </c>
      <c r="K12" s="32">
        <f t="shared" si="0"/>
        <v>2500000</v>
      </c>
      <c r="L12" s="32">
        <f t="shared" si="0"/>
        <v>2500000</v>
      </c>
      <c r="M12" s="32">
        <f t="shared" si="0"/>
        <v>2500000</v>
      </c>
      <c r="N12" s="33">
        <f t="shared" si="0"/>
        <v>2500000</v>
      </c>
    </row>
    <row r="13" spans="1:14" x14ac:dyDescent="0.2">
      <c r="A13" s="39"/>
      <c r="B13" s="20"/>
      <c r="C13" s="41"/>
      <c r="D13" s="42"/>
      <c r="E13" s="42"/>
      <c r="F13" s="42"/>
      <c r="G13" s="31"/>
      <c r="H13" s="42"/>
      <c r="I13" s="32"/>
      <c r="J13" s="32"/>
      <c r="K13" s="32"/>
      <c r="L13" s="32"/>
      <c r="M13" s="32"/>
      <c r="N13" s="33"/>
    </row>
    <row r="14" spans="1:14" x14ac:dyDescent="0.2">
      <c r="A14" s="39"/>
      <c r="B14" s="20" t="s">
        <v>20</v>
      </c>
      <c r="C14" s="38"/>
      <c r="D14" s="38"/>
      <c r="E14" s="38"/>
      <c r="F14" s="38"/>
      <c r="G14" s="15"/>
      <c r="H14" s="38"/>
      <c r="I14" s="16"/>
      <c r="J14" s="16"/>
      <c r="K14" s="16"/>
      <c r="L14" s="16"/>
      <c r="M14" s="16"/>
      <c r="N14" s="17"/>
    </row>
    <row r="15" spans="1:14" x14ac:dyDescent="0.2">
      <c r="A15" s="39"/>
      <c r="B15" s="14" t="s">
        <v>23</v>
      </c>
      <c r="C15" s="40">
        <v>25740</v>
      </c>
      <c r="D15" s="40">
        <v>27155.699999999997</v>
      </c>
      <c r="E15" s="40">
        <v>28649.263499999994</v>
      </c>
      <c r="F15" s="40">
        <v>30224.972992499992</v>
      </c>
      <c r="G15" s="24">
        <v>31887.346507087488</v>
      </c>
      <c r="H15" s="40">
        <v>33641.150564977295</v>
      </c>
      <c r="I15" s="25">
        <v>35491.413846051044</v>
      </c>
      <c r="J15" s="25">
        <v>37443.441607583853</v>
      </c>
      <c r="K15" s="25">
        <v>39502.83089600096</v>
      </c>
      <c r="L15" s="25">
        <v>41675.486595281007</v>
      </c>
      <c r="M15" s="25">
        <v>43967.638358021461</v>
      </c>
      <c r="N15" s="26">
        <v>46385.858467712635</v>
      </c>
    </row>
    <row r="16" spans="1:14" x14ac:dyDescent="0.2">
      <c r="A16" s="39"/>
      <c r="B16" s="14" t="s">
        <v>17</v>
      </c>
      <c r="C16" s="40">
        <v>18500000</v>
      </c>
      <c r="D16" s="40">
        <f>+C16+2500000</f>
        <v>21000000</v>
      </c>
      <c r="E16" s="40">
        <f t="shared" ref="E16:H16" si="1">+D16+2500000</f>
        <v>23500000</v>
      </c>
      <c r="F16" s="40">
        <f t="shared" si="1"/>
        <v>26000000</v>
      </c>
      <c r="G16" s="24">
        <f t="shared" si="1"/>
        <v>28500000</v>
      </c>
      <c r="H16" s="40">
        <f t="shared" si="1"/>
        <v>31000000</v>
      </c>
      <c r="I16" s="25">
        <f>H16+11073600</f>
        <v>42073600</v>
      </c>
      <c r="J16" s="25">
        <f>+I16*0.85</f>
        <v>35762560</v>
      </c>
      <c r="K16" s="25">
        <f t="shared" ref="K16:M16" si="2">+J16*0.85</f>
        <v>30398176</v>
      </c>
      <c r="L16" s="25">
        <f t="shared" si="2"/>
        <v>25838449.599999998</v>
      </c>
      <c r="M16" s="25">
        <f t="shared" si="2"/>
        <v>21962682.159999996</v>
      </c>
      <c r="N16" s="26">
        <f>+M16*0.85+20000000</f>
        <v>38668279.835999995</v>
      </c>
    </row>
    <row r="17" spans="1:14" x14ac:dyDescent="0.2">
      <c r="A17" s="39"/>
      <c r="B17" s="14" t="s">
        <v>27</v>
      </c>
      <c r="C17" s="40">
        <v>3000000</v>
      </c>
      <c r="D17" s="40">
        <v>3000000</v>
      </c>
      <c r="E17" s="40">
        <v>3000000</v>
      </c>
      <c r="F17" s="40">
        <v>3000000</v>
      </c>
      <c r="G17" s="24">
        <v>3000000</v>
      </c>
      <c r="H17" s="40">
        <v>3000000</v>
      </c>
      <c r="I17" s="25">
        <v>3000000</v>
      </c>
      <c r="J17" s="25">
        <v>3000000</v>
      </c>
      <c r="K17" s="25">
        <v>3000000</v>
      </c>
      <c r="L17" s="25">
        <v>3000000</v>
      </c>
      <c r="M17" s="25">
        <v>3000000</v>
      </c>
      <c r="N17" s="26">
        <v>3000000</v>
      </c>
    </row>
    <row r="18" spans="1:14" x14ac:dyDescent="0.2">
      <c r="A18" s="39"/>
      <c r="B18" s="14" t="s">
        <v>58</v>
      </c>
      <c r="C18" s="40">
        <v>11073600</v>
      </c>
      <c r="D18" s="40">
        <f>+C18</f>
        <v>11073600</v>
      </c>
      <c r="E18" s="40">
        <v>11073600</v>
      </c>
      <c r="F18" s="40">
        <v>11073600</v>
      </c>
      <c r="G18" s="24">
        <v>11073600</v>
      </c>
      <c r="H18" s="40">
        <v>11073600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6">
        <v>0</v>
      </c>
    </row>
    <row r="19" spans="1:14" x14ac:dyDescent="0.2">
      <c r="A19" s="39"/>
      <c r="B19" s="14" t="s">
        <v>21</v>
      </c>
      <c r="C19" s="40">
        <v>500000</v>
      </c>
      <c r="D19" s="40">
        <v>500000</v>
      </c>
      <c r="E19" s="40">
        <v>500000</v>
      </c>
      <c r="F19" s="40">
        <v>500000</v>
      </c>
      <c r="G19" s="24">
        <v>0</v>
      </c>
      <c r="H19" s="40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6">
        <v>0</v>
      </c>
    </row>
    <row r="20" spans="1:14" x14ac:dyDescent="0.2">
      <c r="A20" s="39"/>
      <c r="B20" s="14" t="s">
        <v>22</v>
      </c>
      <c r="C20" s="34">
        <v>0</v>
      </c>
      <c r="D20" s="27">
        <v>0</v>
      </c>
      <c r="E20" s="27">
        <v>0</v>
      </c>
      <c r="F20" s="27">
        <v>0</v>
      </c>
      <c r="G20" s="28">
        <v>0</v>
      </c>
      <c r="H20" s="27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30">
        <v>0</v>
      </c>
    </row>
    <row r="21" spans="1:14" x14ac:dyDescent="0.2">
      <c r="A21" s="39"/>
      <c r="B21" s="20" t="s">
        <v>25</v>
      </c>
      <c r="C21" s="41">
        <f t="shared" ref="C21:N21" si="3">+SUM(C15:C20)</f>
        <v>33099340</v>
      </c>
      <c r="D21" s="42">
        <f t="shared" si="3"/>
        <v>35600755.700000003</v>
      </c>
      <c r="E21" s="42">
        <f t="shared" si="3"/>
        <v>38102249.263500005</v>
      </c>
      <c r="F21" s="42">
        <f t="shared" si="3"/>
        <v>40603824.972992495</v>
      </c>
      <c r="G21" s="31">
        <f t="shared" si="3"/>
        <v>42605487.346507087</v>
      </c>
      <c r="H21" s="42">
        <f t="shared" si="3"/>
        <v>45107241.150564976</v>
      </c>
      <c r="I21" s="32">
        <f t="shared" si="3"/>
        <v>45109091.413846053</v>
      </c>
      <c r="J21" s="32">
        <f t="shared" si="3"/>
        <v>38800003.441607587</v>
      </c>
      <c r="K21" s="32">
        <f t="shared" si="3"/>
        <v>33437678.830896001</v>
      </c>
      <c r="L21" s="32">
        <f t="shared" si="3"/>
        <v>28880125.086595278</v>
      </c>
      <c r="M21" s="32">
        <f t="shared" si="3"/>
        <v>25006649.798358019</v>
      </c>
      <c r="N21" s="33">
        <f t="shared" si="3"/>
        <v>41714665.694467708</v>
      </c>
    </row>
    <row r="22" spans="1:14" x14ac:dyDescent="0.2">
      <c r="A22" s="39"/>
      <c r="B22" s="14"/>
      <c r="C22" s="40"/>
      <c r="D22" s="40"/>
      <c r="E22" s="40"/>
      <c r="F22" s="40"/>
      <c r="G22" s="24"/>
      <c r="H22" s="40"/>
      <c r="I22" s="25"/>
      <c r="J22" s="25"/>
      <c r="K22" s="25"/>
      <c r="L22" s="25"/>
      <c r="M22" s="25"/>
      <c r="N22" s="26"/>
    </row>
    <row r="23" spans="1:14" x14ac:dyDescent="0.2">
      <c r="A23" s="39"/>
      <c r="B23" s="14"/>
      <c r="C23" s="40"/>
      <c r="D23" s="40"/>
      <c r="E23" s="40"/>
      <c r="F23" s="40"/>
      <c r="G23" s="24"/>
      <c r="H23" s="40"/>
      <c r="I23" s="25"/>
      <c r="J23" s="25"/>
      <c r="K23" s="25"/>
      <c r="L23" s="25"/>
      <c r="M23" s="25"/>
      <c r="N23" s="26"/>
    </row>
    <row r="24" spans="1:14" x14ac:dyDescent="0.2">
      <c r="A24" s="39"/>
      <c r="B24" s="11" t="s">
        <v>26</v>
      </c>
      <c r="C24" s="40"/>
      <c r="D24" s="40"/>
      <c r="E24" s="40"/>
      <c r="F24" s="40"/>
      <c r="G24" s="24"/>
      <c r="H24" s="40"/>
      <c r="I24" s="25"/>
      <c r="J24" s="25"/>
      <c r="K24" s="25"/>
      <c r="L24" s="25"/>
      <c r="M24" s="25"/>
      <c r="N24" s="26"/>
    </row>
    <row r="25" spans="1:14" x14ac:dyDescent="0.2">
      <c r="A25" s="37"/>
      <c r="B25" s="20"/>
      <c r="C25" s="43"/>
      <c r="D25" s="43"/>
      <c r="E25" s="43"/>
      <c r="F25" s="43"/>
      <c r="G25" s="21"/>
      <c r="H25" s="43"/>
      <c r="I25" s="22"/>
      <c r="J25" s="22"/>
      <c r="K25" s="22"/>
      <c r="L25" s="22"/>
      <c r="M25" s="22"/>
      <c r="N25" s="23"/>
    </row>
    <row r="26" spans="1:14" x14ac:dyDescent="0.2">
      <c r="A26" s="37"/>
      <c r="B26" s="20" t="s">
        <v>28</v>
      </c>
      <c r="C26" s="43"/>
      <c r="D26" s="43"/>
      <c r="E26" s="43"/>
      <c r="F26" s="43"/>
      <c r="G26" s="21"/>
      <c r="H26" s="43"/>
      <c r="I26" s="22"/>
      <c r="J26" s="22"/>
      <c r="K26" s="22"/>
      <c r="L26" s="22"/>
      <c r="M26" s="22"/>
      <c r="N26" s="23"/>
    </row>
    <row r="27" spans="1:14" x14ac:dyDescent="0.2">
      <c r="A27" s="37"/>
      <c r="B27" s="19" t="s">
        <v>32</v>
      </c>
      <c r="C27" s="40">
        <v>30000000</v>
      </c>
      <c r="D27" s="40">
        <v>30000000</v>
      </c>
      <c r="E27" s="40">
        <v>30000000</v>
      </c>
      <c r="F27" s="40">
        <v>30000000</v>
      </c>
      <c r="G27" s="24">
        <v>30000000</v>
      </c>
      <c r="H27" s="40">
        <v>30000000</v>
      </c>
      <c r="I27" s="25">
        <v>30000000</v>
      </c>
      <c r="J27" s="25">
        <v>30000000</v>
      </c>
      <c r="K27" s="25">
        <v>30000000</v>
      </c>
      <c r="L27" s="25">
        <v>30000000</v>
      </c>
      <c r="M27" s="25">
        <v>30000000</v>
      </c>
      <c r="N27" s="26">
        <v>33000000</v>
      </c>
    </row>
    <row r="28" spans="1:14" x14ac:dyDescent="0.2">
      <c r="A28" s="37"/>
      <c r="B28" s="19" t="s">
        <v>29</v>
      </c>
      <c r="C28" s="47">
        <v>65000000</v>
      </c>
      <c r="D28" s="48">
        <v>65000000</v>
      </c>
      <c r="E28" s="48">
        <v>65000000</v>
      </c>
      <c r="F28" s="49">
        <v>65000000</v>
      </c>
      <c r="G28" s="50">
        <v>65000000</v>
      </c>
      <c r="H28" s="49">
        <v>65000000</v>
      </c>
      <c r="I28" s="48">
        <v>65000000</v>
      </c>
      <c r="J28" s="48">
        <v>65000000</v>
      </c>
      <c r="K28" s="48">
        <v>65000000</v>
      </c>
      <c r="L28" s="48">
        <v>65000000</v>
      </c>
      <c r="M28" s="48">
        <v>65000000</v>
      </c>
      <c r="N28" s="50">
        <v>72800000</v>
      </c>
    </row>
    <row r="29" spans="1:14" x14ac:dyDescent="0.2">
      <c r="A29" s="37"/>
      <c r="B29" s="20" t="s">
        <v>25</v>
      </c>
      <c r="C29" s="41">
        <f>+SUM(C26:C28)</f>
        <v>95000000</v>
      </c>
      <c r="D29" s="42">
        <f t="shared" ref="D29" si="4">+SUM(D26:D28)</f>
        <v>95000000</v>
      </c>
      <c r="E29" s="42">
        <f t="shared" ref="E29" si="5">+SUM(E26:E28)</f>
        <v>95000000</v>
      </c>
      <c r="F29" s="42">
        <f t="shared" ref="F29" si="6">+SUM(F26:F28)</f>
        <v>95000000</v>
      </c>
      <c r="G29" s="31">
        <f t="shared" ref="G29" si="7">+SUM(G26:G28)</f>
        <v>95000000</v>
      </c>
      <c r="H29" s="42">
        <f t="shared" ref="H29" si="8">+SUM(H26:H28)</f>
        <v>95000000</v>
      </c>
      <c r="I29" s="32">
        <f t="shared" ref="I29" si="9">+SUM(I26:I28)</f>
        <v>95000000</v>
      </c>
      <c r="J29" s="32">
        <f t="shared" ref="J29" si="10">+SUM(J26:J28)</f>
        <v>95000000</v>
      </c>
      <c r="K29" s="32">
        <f t="shared" ref="K29" si="11">+SUM(K26:K28)</f>
        <v>95000000</v>
      </c>
      <c r="L29" s="32">
        <f t="shared" ref="L29" si="12">+SUM(L26:L28)</f>
        <v>95000000</v>
      </c>
      <c r="M29" s="32">
        <f t="shared" ref="M29" si="13">+SUM(M26:M28)</f>
        <v>95000000</v>
      </c>
      <c r="N29" s="33">
        <f>+SUM(N26:N28)</f>
        <v>105800000</v>
      </c>
    </row>
    <row r="30" spans="1:14" x14ac:dyDescent="0.2">
      <c r="A30" s="37"/>
      <c r="B30" s="19"/>
      <c r="C30" s="16"/>
      <c r="D30" s="44"/>
      <c r="E30" s="44"/>
      <c r="F30" s="16"/>
      <c r="G30" s="18"/>
      <c r="H30" s="16"/>
      <c r="I30" s="44"/>
      <c r="J30" s="44"/>
      <c r="K30" s="44"/>
      <c r="L30" s="44"/>
      <c r="M30" s="44"/>
      <c r="N30" s="18"/>
    </row>
    <row r="31" spans="1:14" x14ac:dyDescent="0.2">
      <c r="A31" s="45"/>
      <c r="B31" s="46"/>
      <c r="C31" s="47"/>
      <c r="D31" s="48"/>
      <c r="E31" s="48"/>
      <c r="F31" s="49"/>
      <c r="G31" s="50"/>
      <c r="H31" s="49"/>
      <c r="I31" s="49"/>
      <c r="J31" s="48"/>
      <c r="K31" s="48"/>
      <c r="L31" s="48"/>
      <c r="M31" s="48"/>
      <c r="N31" s="50"/>
    </row>
    <row r="33" spans="3:15" x14ac:dyDescent="0.2">
      <c r="I33" s="55"/>
    </row>
    <row r="36" spans="3:15" x14ac:dyDescent="0.2"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8" spans="3:15" x14ac:dyDescent="0.2"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</row>
    <row r="39" spans="3:15" x14ac:dyDescent="0.2"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1" spans="3:15" x14ac:dyDescent="0.2">
      <c r="O41" s="55"/>
    </row>
    <row r="42" spans="3:15" x14ac:dyDescent="0.2">
      <c r="O42" s="35"/>
    </row>
  </sheetData>
  <mergeCells count="4">
    <mergeCell ref="A1:N1"/>
    <mergeCell ref="A2:N2"/>
    <mergeCell ref="A5:A6"/>
    <mergeCell ref="B5:B6"/>
  </mergeCells>
  <printOptions horizontalCentered="1" verticalCentered="1"/>
  <pageMargins left="3.937007874015748E-2" right="0" top="0.51181102362204722" bottom="0.74803149606299213" header="0.31496062992125984" footer="0.31496062992125984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5389-B25A-48C0-B936-8A1A06136230}">
  <dimension ref="A3:S32"/>
  <sheetViews>
    <sheetView workbookViewId="0">
      <selection activeCell="D18" sqref="D18"/>
    </sheetView>
  </sheetViews>
  <sheetFormatPr baseColWidth="10" defaultRowHeight="15" x14ac:dyDescent="0.25"/>
  <cols>
    <col min="1" max="1" width="26" customWidth="1"/>
    <col min="2" max="4" width="19.28515625" customWidth="1"/>
    <col min="5" max="7" width="17" customWidth="1"/>
    <col min="8" max="8" width="18.28515625" customWidth="1"/>
    <col min="10" max="10" width="12.5703125" bestFit="1" customWidth="1"/>
    <col min="13" max="13" width="12.5703125" bestFit="1" customWidth="1"/>
    <col min="17" max="17" width="14" customWidth="1"/>
    <col min="19" max="19" width="15.28515625" customWidth="1"/>
  </cols>
  <sheetData>
    <row r="3" spans="1:19" ht="30" x14ac:dyDescent="0.25">
      <c r="A3" s="60" t="s">
        <v>33</v>
      </c>
      <c r="B3" s="60" t="s">
        <v>34</v>
      </c>
      <c r="C3" s="60" t="s">
        <v>35</v>
      </c>
      <c r="D3" s="60" t="s">
        <v>36</v>
      </c>
      <c r="E3" s="60" t="s">
        <v>37</v>
      </c>
      <c r="F3" s="60" t="s">
        <v>56</v>
      </c>
      <c r="G3" s="60" t="s">
        <v>57</v>
      </c>
      <c r="H3" s="60" t="s">
        <v>60</v>
      </c>
      <c r="I3" s="60" t="s">
        <v>61</v>
      </c>
      <c r="J3" s="60" t="s">
        <v>63</v>
      </c>
      <c r="K3" s="60" t="s">
        <v>62</v>
      </c>
      <c r="L3" s="60" t="s">
        <v>64</v>
      </c>
      <c r="M3" s="60" t="s">
        <v>65</v>
      </c>
      <c r="N3" s="60" t="s">
        <v>66</v>
      </c>
      <c r="O3" s="60" t="s">
        <v>67</v>
      </c>
      <c r="Q3" s="60" t="s">
        <v>68</v>
      </c>
      <c r="R3" s="60" t="s">
        <v>69</v>
      </c>
      <c r="S3" s="60" t="s">
        <v>68</v>
      </c>
    </row>
    <row r="4" spans="1:19" x14ac:dyDescent="0.25">
      <c r="A4" t="s">
        <v>38</v>
      </c>
      <c r="B4" s="52"/>
      <c r="C4" s="59">
        <v>42909</v>
      </c>
      <c r="D4" s="59">
        <v>43132</v>
      </c>
      <c r="E4" s="52">
        <v>5000000</v>
      </c>
      <c r="F4" s="52">
        <v>0</v>
      </c>
      <c r="G4" s="52">
        <f>+E4+F4</f>
        <v>5000000</v>
      </c>
    </row>
    <row r="5" spans="1:19" x14ac:dyDescent="0.25">
      <c r="A5" t="s">
        <v>39</v>
      </c>
      <c r="B5" s="52"/>
      <c r="C5" s="59">
        <v>45680</v>
      </c>
      <c r="D5" s="59">
        <v>45680</v>
      </c>
      <c r="E5" s="52">
        <v>12000000</v>
      </c>
      <c r="F5" s="52">
        <f>+E5*0.16</f>
        <v>1920000</v>
      </c>
      <c r="G5" s="52">
        <f t="shared" ref="G5:G8" si="0">+E5+F5</f>
        <v>13920000</v>
      </c>
      <c r="H5" s="56"/>
      <c r="I5" s="62"/>
      <c r="J5" s="53"/>
      <c r="K5" s="52"/>
      <c r="M5" s="52"/>
      <c r="Q5" s="52"/>
      <c r="S5" s="52"/>
    </row>
    <row r="6" spans="1:19" x14ac:dyDescent="0.25">
      <c r="A6" t="s">
        <v>55</v>
      </c>
      <c r="B6" s="52"/>
      <c r="C6" s="59">
        <v>45417</v>
      </c>
      <c r="D6" s="59">
        <v>45417</v>
      </c>
      <c r="E6" s="52">
        <f>390000*3</f>
        <v>1170000</v>
      </c>
      <c r="F6" s="52">
        <f>+E6*0.16</f>
        <v>187200</v>
      </c>
      <c r="G6" s="52">
        <f t="shared" si="0"/>
        <v>1357200</v>
      </c>
      <c r="H6" s="56"/>
      <c r="I6" s="62"/>
      <c r="J6" s="53"/>
      <c r="K6" s="52"/>
      <c r="M6" s="52"/>
      <c r="Q6" s="52"/>
      <c r="R6" s="57"/>
      <c r="S6" s="52"/>
    </row>
    <row r="7" spans="1:19" x14ac:dyDescent="0.25">
      <c r="A7" t="s">
        <v>54</v>
      </c>
      <c r="B7" s="52"/>
      <c r="C7" s="59">
        <v>45417</v>
      </c>
      <c r="D7" s="59">
        <v>45417</v>
      </c>
      <c r="E7" s="52">
        <f>520000*2</f>
        <v>1040000</v>
      </c>
      <c r="F7" s="52">
        <f>+E7*0.16</f>
        <v>166400</v>
      </c>
      <c r="G7" s="52">
        <f t="shared" si="0"/>
        <v>1206400</v>
      </c>
      <c r="H7" s="56"/>
      <c r="I7" s="62"/>
      <c r="J7" s="53"/>
      <c r="K7" s="52"/>
      <c r="M7" s="52"/>
      <c r="Q7" s="52"/>
      <c r="R7" s="57"/>
      <c r="S7" s="52"/>
    </row>
    <row r="8" spans="1:19" x14ac:dyDescent="0.25">
      <c r="A8" t="s">
        <v>40</v>
      </c>
      <c r="B8" s="52"/>
      <c r="C8" s="59">
        <v>44686</v>
      </c>
      <c r="D8" s="59">
        <v>44686</v>
      </c>
      <c r="E8" s="52">
        <v>55000000</v>
      </c>
      <c r="F8" s="52">
        <f>+E8*0.16</f>
        <v>8800000</v>
      </c>
      <c r="G8" s="52">
        <f t="shared" si="0"/>
        <v>63800000</v>
      </c>
      <c r="H8" s="56"/>
      <c r="I8" s="62"/>
      <c r="J8" s="53"/>
      <c r="K8" s="52"/>
      <c r="M8" s="52"/>
      <c r="Q8" s="52"/>
      <c r="S8" s="52"/>
    </row>
    <row r="9" spans="1:19" x14ac:dyDescent="0.25">
      <c r="B9" s="52"/>
      <c r="C9" s="59"/>
      <c r="D9" s="59"/>
      <c r="E9" s="52"/>
      <c r="F9" s="52"/>
      <c r="G9" s="52"/>
      <c r="M9" s="64"/>
      <c r="Q9" s="63"/>
      <c r="S9" s="63"/>
    </row>
    <row r="10" spans="1:19" x14ac:dyDescent="0.25">
      <c r="B10" s="52"/>
      <c r="C10" s="59"/>
      <c r="D10" s="59"/>
      <c r="E10" s="52"/>
      <c r="F10" s="52"/>
      <c r="G10" s="52"/>
    </row>
    <row r="11" spans="1:19" x14ac:dyDescent="0.25">
      <c r="B11" s="52"/>
      <c r="C11" s="59"/>
      <c r="D11" s="59"/>
      <c r="E11" s="52"/>
      <c r="F11" s="52"/>
      <c r="G11" s="52"/>
      <c r="Q11" s="52"/>
      <c r="R11" s="52"/>
      <c r="S11" s="57"/>
    </row>
    <row r="12" spans="1:19" x14ac:dyDescent="0.25">
      <c r="B12" s="52"/>
      <c r="C12" s="59"/>
      <c r="D12" s="59"/>
      <c r="E12" s="52"/>
      <c r="F12" s="52"/>
      <c r="G12" s="52"/>
      <c r="Q12" s="52"/>
      <c r="R12" s="52"/>
      <c r="S12" s="57"/>
    </row>
    <row r="13" spans="1:19" x14ac:dyDescent="0.25">
      <c r="B13" s="52"/>
      <c r="C13" s="59"/>
      <c r="D13" s="52"/>
      <c r="E13" s="52"/>
      <c r="F13" s="52"/>
      <c r="G13" s="52"/>
    </row>
    <row r="14" spans="1:19" x14ac:dyDescent="0.25">
      <c r="B14" s="52"/>
      <c r="C14" s="59"/>
      <c r="D14" s="52"/>
      <c r="E14" s="52"/>
      <c r="F14" s="52"/>
      <c r="G14" s="52"/>
    </row>
    <row r="15" spans="1:19" x14ac:dyDescent="0.25">
      <c r="B15" s="52"/>
      <c r="C15" s="59"/>
      <c r="D15" s="52"/>
      <c r="E15" s="52"/>
      <c r="F15" s="52"/>
      <c r="G15" s="52"/>
    </row>
    <row r="16" spans="1:19" x14ac:dyDescent="0.25">
      <c r="B16" s="52"/>
      <c r="C16" s="52"/>
      <c r="D16" s="52"/>
      <c r="E16" s="52"/>
      <c r="F16" s="52"/>
      <c r="G16" s="52"/>
    </row>
    <row r="17" spans="2:7" x14ac:dyDescent="0.25">
      <c r="B17" s="52"/>
      <c r="C17" s="52"/>
      <c r="D17" s="52"/>
      <c r="E17" s="52"/>
      <c r="F17" s="52"/>
      <c r="G17" s="52"/>
    </row>
    <row r="18" spans="2:7" x14ac:dyDescent="0.25">
      <c r="B18" s="52"/>
      <c r="C18" s="52"/>
      <c r="D18" s="52"/>
      <c r="E18" s="52"/>
      <c r="F18" s="52"/>
      <c r="G18" s="52"/>
    </row>
    <row r="19" spans="2:7" x14ac:dyDescent="0.25">
      <c r="B19" s="52"/>
      <c r="C19" s="52"/>
      <c r="D19" s="52"/>
      <c r="E19" s="52"/>
      <c r="F19" s="52"/>
      <c r="G19" s="52"/>
    </row>
    <row r="20" spans="2:7" x14ac:dyDescent="0.25">
      <c r="B20" s="52"/>
      <c r="C20" s="52"/>
      <c r="D20" s="52"/>
      <c r="E20" s="52"/>
      <c r="F20" s="52"/>
      <c r="G20" s="52"/>
    </row>
    <row r="21" spans="2:7" x14ac:dyDescent="0.25">
      <c r="B21" s="52"/>
      <c r="C21" s="52"/>
      <c r="D21" s="52"/>
      <c r="E21" s="52"/>
      <c r="F21" s="52"/>
      <c r="G21" s="52"/>
    </row>
    <row r="22" spans="2:7" x14ac:dyDescent="0.25">
      <c r="B22" s="52"/>
      <c r="C22" s="52"/>
      <c r="D22" s="52"/>
      <c r="E22" s="52"/>
      <c r="F22" s="52"/>
      <c r="G22" s="52"/>
    </row>
    <row r="23" spans="2:7" x14ac:dyDescent="0.25">
      <c r="B23" s="52"/>
      <c r="C23" s="52"/>
      <c r="D23" s="52"/>
      <c r="E23" s="52"/>
      <c r="F23" s="52"/>
      <c r="G23" s="52"/>
    </row>
    <row r="24" spans="2:7" x14ac:dyDescent="0.25">
      <c r="B24" s="52"/>
      <c r="C24" s="61"/>
      <c r="D24" s="52"/>
      <c r="E24" s="52"/>
      <c r="F24" s="52"/>
      <c r="G24" s="52"/>
    </row>
    <row r="25" spans="2:7" x14ac:dyDescent="0.25">
      <c r="B25" s="52"/>
      <c r="C25" s="52"/>
      <c r="D25" s="52"/>
      <c r="E25" s="52"/>
      <c r="F25" s="52"/>
      <c r="G25" s="52"/>
    </row>
    <row r="26" spans="2:7" x14ac:dyDescent="0.25">
      <c r="B26" s="52"/>
      <c r="C26" s="52"/>
      <c r="D26" s="52"/>
      <c r="E26" s="52"/>
      <c r="F26" s="52"/>
      <c r="G26" s="52"/>
    </row>
    <row r="27" spans="2:7" x14ac:dyDescent="0.25">
      <c r="B27" s="52"/>
      <c r="C27" s="52"/>
      <c r="D27" s="52"/>
      <c r="E27" s="52"/>
      <c r="F27" s="52"/>
      <c r="G27" s="52"/>
    </row>
    <row r="28" spans="2:7" x14ac:dyDescent="0.25">
      <c r="B28" s="52"/>
      <c r="C28" s="52"/>
      <c r="D28" s="52"/>
      <c r="E28" s="52"/>
      <c r="F28" s="52"/>
      <c r="G28" s="52"/>
    </row>
    <row r="29" spans="2:7" x14ac:dyDescent="0.25">
      <c r="B29" s="52"/>
      <c r="C29" s="52"/>
      <c r="D29" s="52"/>
      <c r="E29" s="52"/>
      <c r="F29" s="52"/>
      <c r="G29" s="52"/>
    </row>
    <row r="30" spans="2:7" x14ac:dyDescent="0.25">
      <c r="B30" s="52"/>
      <c r="C30" s="52"/>
      <c r="D30" s="52"/>
      <c r="E30" s="52"/>
      <c r="F30" s="52"/>
      <c r="G30" s="52"/>
    </row>
    <row r="31" spans="2:7" x14ac:dyDescent="0.25">
      <c r="B31" s="52"/>
      <c r="C31" s="52"/>
      <c r="D31" s="52"/>
      <c r="E31" s="52"/>
      <c r="F31" s="52"/>
      <c r="G31" s="52"/>
    </row>
    <row r="32" spans="2:7" x14ac:dyDescent="0.25">
      <c r="B32" s="52"/>
      <c r="C32" s="52"/>
      <c r="D32" s="52"/>
      <c r="E32" s="52"/>
      <c r="F32" s="52"/>
      <c r="G32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DD33-48B7-44FA-B7C8-569C07A92E05}">
  <dimension ref="A2:N4"/>
  <sheetViews>
    <sheetView workbookViewId="0">
      <selection activeCell="M4" sqref="M4"/>
    </sheetView>
  </sheetViews>
  <sheetFormatPr baseColWidth="10" defaultRowHeight="15" x14ac:dyDescent="0.25"/>
  <cols>
    <col min="1" max="1" width="32.28515625" customWidth="1"/>
    <col min="2" max="8" width="13.140625" bestFit="1" customWidth="1"/>
    <col min="9" max="9" width="11.5703125" bestFit="1" customWidth="1"/>
    <col min="10" max="10" width="13.140625" bestFit="1" customWidth="1"/>
    <col min="11" max="11" width="14.140625" bestFit="1" customWidth="1"/>
    <col min="12" max="13" width="13.140625" bestFit="1" customWidth="1"/>
  </cols>
  <sheetData>
    <row r="2" spans="1:14" x14ac:dyDescent="0.25">
      <c r="B2" s="58" t="s">
        <v>42</v>
      </c>
      <c r="C2" s="58" t="s">
        <v>43</v>
      </c>
      <c r="D2" s="58" t="s">
        <v>44</v>
      </c>
      <c r="E2" s="58" t="s">
        <v>45</v>
      </c>
      <c r="F2" s="58" t="s">
        <v>46</v>
      </c>
      <c r="G2" s="58" t="s">
        <v>47</v>
      </c>
      <c r="H2" s="58" t="s">
        <v>48</v>
      </c>
      <c r="I2" s="58" t="s">
        <v>49</v>
      </c>
      <c r="J2" s="58" t="s">
        <v>50</v>
      </c>
      <c r="K2" s="58" t="s">
        <v>51</v>
      </c>
      <c r="L2" s="58" t="s">
        <v>52</v>
      </c>
      <c r="M2" s="58" t="s">
        <v>53</v>
      </c>
    </row>
    <row r="3" spans="1:14" x14ac:dyDescent="0.25">
      <c r="A3" t="s">
        <v>41</v>
      </c>
      <c r="B3" s="53">
        <v>2350000</v>
      </c>
      <c r="C3" s="53">
        <v>13290000</v>
      </c>
      <c r="D3" s="53">
        <v>1880000</v>
      </c>
      <c r="E3" s="53">
        <v>4230000</v>
      </c>
      <c r="F3" s="53">
        <v>12820000</v>
      </c>
      <c r="G3" s="53">
        <v>3760000</v>
      </c>
      <c r="H3" s="53">
        <v>1410000</v>
      </c>
      <c r="I3" s="53">
        <v>1470000</v>
      </c>
      <c r="J3" s="53">
        <v>9400000</v>
      </c>
      <c r="K3" s="53">
        <v>14100000</v>
      </c>
      <c r="L3" s="53">
        <v>7680000</v>
      </c>
      <c r="M3" s="53">
        <v>1410000</v>
      </c>
      <c r="N3" s="54">
        <f>+SUM(B3:M3)</f>
        <v>73800000</v>
      </c>
    </row>
    <row r="4" spans="1:14" x14ac:dyDescent="0.25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Deducciones</vt:lpstr>
      <vt:lpstr>AAXI </vt:lpstr>
      <vt:lpstr>Inversiones</vt:lpstr>
      <vt:lpstr>Pagos provisionales</vt:lpstr>
      <vt:lpstr>'AAXI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Leon Reyes Jaime</dc:creator>
  <cp:lastModifiedBy>salones</cp:lastModifiedBy>
  <dcterms:created xsi:type="dcterms:W3CDTF">2022-08-31T01:54:38Z</dcterms:created>
  <dcterms:modified xsi:type="dcterms:W3CDTF">2026-05-07T13:12:13Z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37ea1f-2c5d-459d-abec-9c12fc11b92c_Enabled">
    <vt:lpwstr>true</vt:lpwstr>
  </property>
  <property fmtid="{D5CDD505-2E9C-101B-9397-08002B2CF9AE}" pid="3" name="MSIP_Label_d537ea1f-2c5d-459d-abec-9c12fc11b92c_SetDate">
    <vt:lpwstr>2025-03-26T03:51:19Z</vt:lpwstr>
  </property>
  <property fmtid="{D5CDD505-2E9C-101B-9397-08002B2CF9AE}" pid="4" name="MSIP_Label_d537ea1f-2c5d-459d-abec-9c12fc11b92c_Method">
    <vt:lpwstr>Privileged</vt:lpwstr>
  </property>
  <property fmtid="{D5CDD505-2E9C-101B-9397-08002B2CF9AE}" pid="5" name="MSIP_Label_d537ea1f-2c5d-459d-abec-9c12fc11b92c_Name">
    <vt:lpwstr>General</vt:lpwstr>
  </property>
  <property fmtid="{D5CDD505-2E9C-101B-9397-08002B2CF9AE}" pid="6" name="MSIP_Label_d537ea1f-2c5d-459d-abec-9c12fc11b92c_SiteId">
    <vt:lpwstr>5a3c2a26-df13-4524-9df2-07d9a4d4a7d0</vt:lpwstr>
  </property>
  <property fmtid="{D5CDD505-2E9C-101B-9397-08002B2CF9AE}" pid="7" name="MSIP_Label_d537ea1f-2c5d-459d-abec-9c12fc11b92c_ActionId">
    <vt:lpwstr>79eb2391-e435-41eb-b393-0dd62f92a9cf</vt:lpwstr>
  </property>
  <property fmtid="{D5CDD505-2E9C-101B-9397-08002B2CF9AE}" pid="8" name="MSIP_Label_d537ea1f-2c5d-459d-abec-9c12fc11b92c_ContentBits">
    <vt:lpwstr>0</vt:lpwstr>
  </property>
  <property fmtid="{D5CDD505-2E9C-101B-9397-08002B2CF9AE}" pid="9" name="MSIP_Label_d537ea1f-2c5d-459d-abec-9c12fc11b92c_Tag">
    <vt:lpwstr>10, 0, 1, 1</vt:lpwstr>
  </property>
</Properties>
</file>