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ones\Desktop\"/>
    </mc:Choice>
  </mc:AlternateContent>
  <xr:revisionPtr revIDLastSave="0" documentId="13_ncr:1_{B2D4DCFB-7834-4D81-9160-2F63D6635E0C}" xr6:coauthVersionLast="47" xr6:coauthVersionMax="47" xr10:uidLastSave="{00000000-0000-0000-0000-000000000000}"/>
  <bookViews>
    <workbookView xWindow="-120" yWindow="-120" windowWidth="29040" windowHeight="15720" activeTab="1" xr2:uid="{832D55FD-95F9-48C3-9E6B-43CB535D54FB}"/>
  </bookViews>
  <sheets>
    <sheet name="Inversiones" sheetId="1" r:id="rId1"/>
    <sheet name="Pérdidas fisc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7" i="2" l="1"/>
  <c r="I27" i="2" s="1"/>
  <c r="H24" i="2"/>
  <c r="I24" i="2"/>
  <c r="G27" i="2"/>
  <c r="F27" i="2"/>
  <c r="E27" i="2"/>
  <c r="D27" i="2"/>
  <c r="C27" i="2"/>
  <c r="G26" i="2"/>
  <c r="F26" i="2"/>
  <c r="C26" i="2"/>
  <c r="F24" i="2"/>
  <c r="G24" i="2" s="1"/>
  <c r="D24" i="2"/>
  <c r="C24" i="2"/>
  <c r="I23" i="2"/>
  <c r="H23" i="2"/>
  <c r="F23" i="2"/>
  <c r="G23" i="2" s="1"/>
  <c r="D23" i="2"/>
  <c r="C23" i="2"/>
  <c r="I22" i="2"/>
  <c r="H22" i="2"/>
  <c r="G22" i="2"/>
  <c r="F22" i="2"/>
  <c r="D22" i="2"/>
  <c r="C22" i="2"/>
  <c r="I21" i="2"/>
  <c r="H21" i="2"/>
  <c r="G21" i="2"/>
  <c r="F21" i="2"/>
  <c r="D21" i="2"/>
  <c r="C21" i="2"/>
  <c r="I20" i="2"/>
  <c r="H20" i="2"/>
  <c r="G20" i="2"/>
  <c r="F20" i="2"/>
  <c r="D20" i="2"/>
  <c r="C20" i="2"/>
  <c r="I19" i="2"/>
  <c r="H19" i="2"/>
  <c r="F19" i="2"/>
  <c r="D19" i="2"/>
  <c r="C19" i="2"/>
  <c r="G19" i="2" s="1"/>
  <c r="G18" i="2"/>
  <c r="F18" i="2"/>
  <c r="C18" i="2"/>
  <c r="C21" i="1"/>
  <c r="C19" i="1"/>
  <c r="C18" i="1"/>
  <c r="C16" i="1"/>
  <c r="C15" i="1"/>
  <c r="C13" i="1"/>
  <c r="S10" i="1"/>
  <c r="S9" i="1"/>
  <c r="S8" i="1"/>
  <c r="S7" i="1"/>
  <c r="S6" i="1"/>
  <c r="S5" i="1"/>
  <c r="S4" i="1"/>
  <c r="R4" i="1"/>
  <c r="R9" i="1"/>
  <c r="R8" i="1"/>
  <c r="R7" i="1"/>
  <c r="R6" i="1"/>
  <c r="R5" i="1"/>
  <c r="O9" i="1"/>
  <c r="O8" i="1"/>
  <c r="O7" i="1"/>
  <c r="O6" i="1"/>
  <c r="O4" i="1"/>
  <c r="O5" i="1"/>
  <c r="N5" i="1"/>
  <c r="N4" i="1"/>
  <c r="L5" i="1"/>
  <c r="L4" i="1"/>
  <c r="K9" i="1"/>
  <c r="K8" i="1"/>
  <c r="K7" i="1"/>
  <c r="K6" i="1"/>
  <c r="K5" i="1"/>
  <c r="K4" i="1"/>
  <c r="J9" i="1"/>
  <c r="J8" i="1"/>
  <c r="J7" i="1"/>
  <c r="J6" i="1"/>
  <c r="J5" i="1"/>
  <c r="J4" i="1"/>
  <c r="H9" i="1"/>
  <c r="H8" i="1"/>
  <c r="H7" i="1"/>
  <c r="H6" i="1"/>
  <c r="H5" i="1"/>
  <c r="H4" i="1"/>
  <c r="E9" i="1"/>
  <c r="D9" i="1"/>
  <c r="F9" i="1" s="1"/>
  <c r="D8" i="1"/>
  <c r="E7" i="1"/>
  <c r="F7" i="1" s="1"/>
  <c r="D7" i="1"/>
  <c r="D6" i="1"/>
  <c r="F6" i="1" s="1"/>
  <c r="D5" i="1"/>
  <c r="F5" i="1" s="1"/>
  <c r="F8" i="1"/>
  <c r="F4" i="1"/>
  <c r="D4" i="1"/>
</calcChain>
</file>

<file path=xl/sharedStrings.xml><?xml version="1.0" encoding="utf-8"?>
<sst xmlns="http://schemas.openxmlformats.org/spreadsheetml/2006/main" count="38" uniqueCount="35">
  <si>
    <t>Automóvil híbrido</t>
  </si>
  <si>
    <t>Automóvil gasolina</t>
  </si>
  <si>
    <t>Pickup</t>
  </si>
  <si>
    <t>Paneles solares</t>
  </si>
  <si>
    <t>Equipo de cómputo</t>
  </si>
  <si>
    <t>Precio</t>
  </si>
  <si>
    <t>IVA</t>
  </si>
  <si>
    <t>Total</t>
  </si>
  <si>
    <t>IGI</t>
  </si>
  <si>
    <t>Fecha adq</t>
  </si>
  <si>
    <t>MOI</t>
  </si>
  <si>
    <t>Tasa</t>
  </si>
  <si>
    <t>Maquinaria com satelitales en tierra</t>
  </si>
  <si>
    <t>Dep Anual</t>
  </si>
  <si>
    <t>Dep Mensual</t>
  </si>
  <si>
    <t>Meses uso totales</t>
  </si>
  <si>
    <t>Meses uso 2025</t>
  </si>
  <si>
    <t>Dep Acumulada</t>
  </si>
  <si>
    <t>Dep. 2025 (Histórica)</t>
  </si>
  <si>
    <t>INPC 1</t>
  </si>
  <si>
    <t>INPC 2</t>
  </si>
  <si>
    <t>Factor</t>
  </si>
  <si>
    <t>Dep. 2025 Deducible</t>
  </si>
  <si>
    <t>Venta auto híbrido en mayo 2025</t>
  </si>
  <si>
    <t>Precio venta</t>
  </si>
  <si>
    <t>MOI pend depreciar</t>
  </si>
  <si>
    <t>INPC</t>
  </si>
  <si>
    <t>Ganancia</t>
  </si>
  <si>
    <t>PF</t>
  </si>
  <si>
    <t>Ut. Fiscal</t>
  </si>
  <si>
    <t>Monto histórico</t>
  </si>
  <si>
    <t xml:space="preserve">Factor </t>
  </si>
  <si>
    <t>Importe Act.</t>
  </si>
  <si>
    <t>Importe aplicado</t>
  </si>
  <si>
    <t>Remanente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</si>
</sst>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939598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17" fontId="0" fillId="0" borderId="0" xfId="0" applyNumberFormat="1"/>
    <xf numFmtId="9" fontId="0" fillId="0" borderId="0" xfId="1" applyFont="1"/>
    <xf numFmtId="0" fontId="0" fillId="0" borderId="0" xfId="0" applyAlignment="1">
      <alignment horizontal="center" vertical="center" wrapText="1"/>
    </xf>
    <xf numFmtId="0" fontId="3" fillId="0" borderId="0" xfId="0" applyFont="1"/>
    <xf numFmtId="172" fontId="0" fillId="0" borderId="0" xfId="0" applyNumberFormat="1"/>
    <xf numFmtId="3" fontId="2" fillId="0" borderId="0" xfId="0" applyNumberFormat="1" applyFont="1"/>
    <xf numFmtId="0" fontId="4" fillId="0" borderId="0" xfId="0" applyFont="1"/>
    <xf numFmtId="3" fontId="0" fillId="0" borderId="0" xfId="0" applyNumberForma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46E7-4E93-4EF8-9545-D718A8ADBE27}">
  <dimension ref="B3:W21"/>
  <sheetViews>
    <sheetView zoomScale="160" zoomScaleNormal="16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20" sqref="H20"/>
    </sheetView>
  </sheetViews>
  <sheetFormatPr baseColWidth="10" defaultRowHeight="15" x14ac:dyDescent="0.25"/>
  <cols>
    <col min="2" max="2" width="20.140625" customWidth="1"/>
  </cols>
  <sheetData>
    <row r="3" spans="2:23" s="4" customFormat="1" ht="30" x14ac:dyDescent="0.25">
      <c r="C3" s="4" t="s">
        <v>5</v>
      </c>
      <c r="D3" s="4" t="s">
        <v>6</v>
      </c>
      <c r="E3" s="4" t="s">
        <v>8</v>
      </c>
      <c r="F3" s="4" t="s">
        <v>7</v>
      </c>
      <c r="G3" s="4" t="s">
        <v>9</v>
      </c>
      <c r="H3" s="4" t="s">
        <v>10</v>
      </c>
      <c r="I3" s="4" t="s">
        <v>11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4" t="s">
        <v>18</v>
      </c>
      <c r="P3" s="4" t="s">
        <v>19</v>
      </c>
      <c r="Q3" s="4" t="s">
        <v>20</v>
      </c>
      <c r="R3" s="4" t="s">
        <v>21</v>
      </c>
      <c r="S3" s="4" t="s">
        <v>22</v>
      </c>
    </row>
    <row r="4" spans="2:23" x14ac:dyDescent="0.25">
      <c r="B4" t="s">
        <v>0</v>
      </c>
      <c r="C4" s="1">
        <v>400000</v>
      </c>
      <c r="D4" s="1">
        <f>+C4*0.16</f>
        <v>64000</v>
      </c>
      <c r="E4" s="1">
        <v>0</v>
      </c>
      <c r="F4" s="1">
        <f>+SUM(C4:E4)</f>
        <v>464000</v>
      </c>
      <c r="G4" s="2">
        <v>45323</v>
      </c>
      <c r="H4" s="1">
        <f>+C4</f>
        <v>400000</v>
      </c>
      <c r="I4" s="3">
        <v>0.25</v>
      </c>
      <c r="J4" s="1">
        <f>+H4*I4</f>
        <v>100000</v>
      </c>
      <c r="K4" s="1">
        <f>+J4/12</f>
        <v>8333.3333333333339</v>
      </c>
      <c r="L4" s="1">
        <f>10+12</f>
        <v>22</v>
      </c>
      <c r="M4" s="1">
        <v>12</v>
      </c>
      <c r="N4" s="1">
        <f>+K4*L4</f>
        <v>183333.33333333334</v>
      </c>
      <c r="O4" s="1">
        <f>+K4*M4</f>
        <v>100000</v>
      </c>
      <c r="P4" s="5">
        <v>133.68100000000001</v>
      </c>
      <c r="Q4" s="5">
        <v>140.405</v>
      </c>
      <c r="R4" s="6">
        <f>+TRUNC(Q4/P4,4)</f>
        <v>1.0502</v>
      </c>
      <c r="S4" s="1">
        <f>+R4*O4</f>
        <v>105020</v>
      </c>
      <c r="T4" s="1"/>
      <c r="U4" s="1"/>
      <c r="V4" s="1"/>
      <c r="W4" s="1"/>
    </row>
    <row r="5" spans="2:23" x14ac:dyDescent="0.25">
      <c r="B5" t="s">
        <v>1</v>
      </c>
      <c r="C5" s="1">
        <v>350000</v>
      </c>
      <c r="D5" s="1">
        <f>+C5*0.16</f>
        <v>56000</v>
      </c>
      <c r="E5" s="1">
        <v>0</v>
      </c>
      <c r="F5" s="1">
        <f t="shared" ref="F5:F9" si="0">+SUM(C5:E5)</f>
        <v>406000</v>
      </c>
      <c r="G5" s="2">
        <v>44986</v>
      </c>
      <c r="H5" s="1">
        <f>+C5</f>
        <v>350000</v>
      </c>
      <c r="I5" s="3">
        <v>0.25</v>
      </c>
      <c r="J5" s="1">
        <f t="shared" ref="J5:J9" si="1">+H5*I5</f>
        <v>87500</v>
      </c>
      <c r="K5" s="1">
        <f t="shared" ref="K5:K9" si="2">+J5/12</f>
        <v>7291.666666666667</v>
      </c>
      <c r="L5" s="1">
        <f>9+12+12</f>
        <v>33</v>
      </c>
      <c r="M5" s="1">
        <v>12</v>
      </c>
      <c r="N5" s="1">
        <f>+K5*L5</f>
        <v>240625</v>
      </c>
      <c r="O5" s="1">
        <f>175000-((L5-M5)*K5)</f>
        <v>21875</v>
      </c>
      <c r="P5" s="5">
        <v>128.38900000000001</v>
      </c>
      <c r="Q5" s="5">
        <v>140.405</v>
      </c>
      <c r="R5" s="6">
        <f t="shared" ref="R5:R9" si="3">+TRUNC(Q5/P5,4)</f>
        <v>1.0934999999999999</v>
      </c>
      <c r="S5" s="1">
        <f t="shared" ref="S5:S9" si="4">+R5*O5</f>
        <v>23920.312499999996</v>
      </c>
      <c r="T5" s="1"/>
      <c r="U5" s="1"/>
      <c r="V5" s="1"/>
      <c r="W5" s="1"/>
    </row>
    <row r="6" spans="2:23" x14ac:dyDescent="0.25">
      <c r="B6" t="s">
        <v>2</v>
      </c>
      <c r="C6" s="1">
        <v>700000</v>
      </c>
      <c r="D6" s="1">
        <f>+C6*0.16</f>
        <v>112000</v>
      </c>
      <c r="E6" s="1">
        <v>0</v>
      </c>
      <c r="F6" s="1">
        <f t="shared" si="0"/>
        <v>812000</v>
      </c>
      <c r="G6" s="2">
        <v>45778</v>
      </c>
      <c r="H6" s="1">
        <f>+C6</f>
        <v>700000</v>
      </c>
      <c r="I6" s="3">
        <v>0.25</v>
      </c>
      <c r="J6" s="1">
        <f t="shared" si="1"/>
        <v>175000</v>
      </c>
      <c r="K6" s="1">
        <f t="shared" si="2"/>
        <v>14583.333333333334</v>
      </c>
      <c r="L6" s="1">
        <v>7</v>
      </c>
      <c r="M6" s="1">
        <v>7</v>
      </c>
      <c r="N6" s="1"/>
      <c r="O6" s="1">
        <f>+K6*M6</f>
        <v>102083.33333333334</v>
      </c>
      <c r="P6" s="5">
        <v>140.012</v>
      </c>
      <c r="Q6" s="5">
        <v>140.86699999999999</v>
      </c>
      <c r="R6" s="6">
        <f t="shared" si="3"/>
        <v>1.0061</v>
      </c>
      <c r="S6" s="1">
        <f t="shared" si="4"/>
        <v>102706.04166666667</v>
      </c>
      <c r="T6" s="1"/>
      <c r="U6" s="1"/>
      <c r="V6" s="1"/>
      <c r="W6" s="1"/>
    </row>
    <row r="7" spans="2:23" x14ac:dyDescent="0.25">
      <c r="B7" t="s">
        <v>12</v>
      </c>
      <c r="C7" s="1">
        <v>2500000</v>
      </c>
      <c r="D7" s="1">
        <f>+C7*0.16</f>
        <v>400000</v>
      </c>
      <c r="E7" s="1">
        <f>+C7*0.02</f>
        <v>50000</v>
      </c>
      <c r="F7" s="1">
        <f t="shared" si="0"/>
        <v>2950000</v>
      </c>
      <c r="G7" s="2">
        <v>45658</v>
      </c>
      <c r="H7" s="1">
        <f>+C7+E7</f>
        <v>2550000</v>
      </c>
      <c r="I7" s="3">
        <v>0.1</v>
      </c>
      <c r="J7" s="1">
        <f t="shared" si="1"/>
        <v>255000</v>
      </c>
      <c r="K7" s="1">
        <f t="shared" si="2"/>
        <v>21250</v>
      </c>
      <c r="L7" s="1">
        <v>11</v>
      </c>
      <c r="M7" s="1">
        <v>11</v>
      </c>
      <c r="N7" s="1"/>
      <c r="O7" s="1">
        <f>+K7*M7</f>
        <v>233750</v>
      </c>
      <c r="P7" s="5">
        <v>138.34299999999999</v>
      </c>
      <c r="Q7" s="5">
        <v>140.405</v>
      </c>
      <c r="R7" s="6">
        <f t="shared" si="3"/>
        <v>1.0148999999999999</v>
      </c>
      <c r="S7" s="1">
        <f t="shared" si="4"/>
        <v>237232.87499999997</v>
      </c>
      <c r="T7" s="1"/>
      <c r="U7" s="1"/>
      <c r="V7" s="1"/>
      <c r="W7" s="1"/>
    </row>
    <row r="8" spans="2:23" x14ac:dyDescent="0.25">
      <c r="B8" t="s">
        <v>3</v>
      </c>
      <c r="C8" s="1">
        <v>1000000</v>
      </c>
      <c r="D8" s="1">
        <f>+C8*0.16</f>
        <v>160000</v>
      </c>
      <c r="E8" s="1">
        <v>0</v>
      </c>
      <c r="F8" s="1">
        <f t="shared" si="0"/>
        <v>1160000</v>
      </c>
      <c r="G8" s="2">
        <v>45809</v>
      </c>
      <c r="H8" s="1">
        <f>+C8</f>
        <v>1000000</v>
      </c>
      <c r="I8" s="3">
        <v>1</v>
      </c>
      <c r="J8" s="1">
        <f t="shared" si="1"/>
        <v>1000000</v>
      </c>
      <c r="K8" s="1">
        <f t="shared" si="2"/>
        <v>83333.333333333328</v>
      </c>
      <c r="L8" s="1">
        <v>6</v>
      </c>
      <c r="M8" s="1">
        <v>6</v>
      </c>
      <c r="N8" s="1"/>
      <c r="O8" s="1">
        <f>+K8*M8</f>
        <v>500000</v>
      </c>
      <c r="P8" s="5">
        <v>140.405</v>
      </c>
      <c r="Q8" s="5">
        <v>141.197</v>
      </c>
      <c r="R8" s="6">
        <f t="shared" si="3"/>
        <v>1.0056</v>
      </c>
      <c r="S8" s="1">
        <f t="shared" si="4"/>
        <v>502800</v>
      </c>
      <c r="T8" s="1"/>
      <c r="U8" s="1"/>
      <c r="V8" s="1"/>
      <c r="W8" s="1"/>
    </row>
    <row r="9" spans="2:23" x14ac:dyDescent="0.25">
      <c r="B9" t="s">
        <v>4</v>
      </c>
      <c r="C9" s="1">
        <v>150000</v>
      </c>
      <c r="D9" s="1">
        <f>+C9*0.16</f>
        <v>24000</v>
      </c>
      <c r="E9" s="1">
        <f>+C9*0.5</f>
        <v>75000</v>
      </c>
      <c r="F9" s="1">
        <f t="shared" si="0"/>
        <v>249000</v>
      </c>
      <c r="G9" s="2">
        <v>45962</v>
      </c>
      <c r="H9" s="1">
        <f>+C9+E9</f>
        <v>225000</v>
      </c>
      <c r="I9" s="3">
        <v>0.3</v>
      </c>
      <c r="J9" s="1">
        <f t="shared" si="1"/>
        <v>67500</v>
      </c>
      <c r="K9" s="1">
        <f t="shared" si="2"/>
        <v>5625</v>
      </c>
      <c r="L9" s="1">
        <v>1</v>
      </c>
      <c r="M9" s="1">
        <v>1</v>
      </c>
      <c r="N9" s="1"/>
      <c r="O9" s="1">
        <f>+K9*M9</f>
        <v>5625</v>
      </c>
      <c r="P9" s="5">
        <v>142.64500000000001</v>
      </c>
      <c r="Q9" s="5">
        <v>143.042</v>
      </c>
      <c r="R9" s="6">
        <f t="shared" si="3"/>
        <v>1.0026999999999999</v>
      </c>
      <c r="S9" s="1">
        <f t="shared" si="4"/>
        <v>5640.1875</v>
      </c>
      <c r="T9" s="1"/>
      <c r="U9" s="1"/>
      <c r="V9" s="1"/>
      <c r="W9" s="1"/>
    </row>
    <row r="10" spans="2:23" x14ac:dyDescent="0.25">
      <c r="C10" s="1"/>
      <c r="D10" s="1"/>
      <c r="E10" s="1"/>
      <c r="N10" s="1"/>
      <c r="O10" s="1"/>
      <c r="P10" s="5"/>
      <c r="Q10" s="5"/>
      <c r="R10" s="1"/>
      <c r="S10" s="7">
        <f>+SUM(S4:S9)</f>
        <v>977319.41666666663</v>
      </c>
      <c r="T10" s="1"/>
      <c r="U10" s="1"/>
      <c r="V10" s="1"/>
      <c r="W10" s="1"/>
    </row>
    <row r="12" spans="2:23" x14ac:dyDescent="0.25">
      <c r="B12" t="s">
        <v>23</v>
      </c>
    </row>
    <row r="13" spans="2:23" x14ac:dyDescent="0.25">
      <c r="B13" t="s">
        <v>24</v>
      </c>
      <c r="C13" s="1">
        <f>+C4*0.7</f>
        <v>280000</v>
      </c>
    </row>
    <row r="15" spans="2:23" x14ac:dyDescent="0.25">
      <c r="B15" t="s">
        <v>25</v>
      </c>
      <c r="C15" s="1">
        <f>250000-(10*K4)</f>
        <v>166666.66666666666</v>
      </c>
    </row>
    <row r="16" spans="2:23" x14ac:dyDescent="0.25">
      <c r="B16" t="s">
        <v>26</v>
      </c>
      <c r="C16">
        <f>+P4</f>
        <v>133.68100000000001</v>
      </c>
    </row>
    <row r="17" spans="2:3" x14ac:dyDescent="0.25">
      <c r="B17" t="s">
        <v>26</v>
      </c>
      <c r="C17" s="5">
        <v>139.62</v>
      </c>
    </row>
    <row r="18" spans="2:3" x14ac:dyDescent="0.25">
      <c r="C18">
        <f>+TRUNC(C17/C16,4)</f>
        <v>1.0444</v>
      </c>
    </row>
    <row r="19" spans="2:3" x14ac:dyDescent="0.25">
      <c r="C19" s="1">
        <f>+C15*C18</f>
        <v>174066.66666666666</v>
      </c>
    </row>
    <row r="21" spans="2:3" x14ac:dyDescent="0.25">
      <c r="B21" t="s">
        <v>27</v>
      </c>
      <c r="C21" s="1">
        <f>+C13-C19</f>
        <v>105933.33333333334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A273-992A-4D4B-A168-53E9783CB6EF}">
  <dimension ref="B2:J27"/>
  <sheetViews>
    <sheetView tabSelected="1" zoomScale="175" zoomScaleNormal="175" workbookViewId="0">
      <selection activeCell="H31" sqref="H31"/>
    </sheetView>
  </sheetViews>
  <sheetFormatPr baseColWidth="10" defaultRowHeight="15" x14ac:dyDescent="0.25"/>
  <cols>
    <col min="3" max="3" width="14.140625" style="1" customWidth="1"/>
    <col min="7" max="7" width="16.7109375" customWidth="1"/>
    <col min="8" max="8" width="14.7109375" customWidth="1"/>
  </cols>
  <sheetData>
    <row r="2" spans="2:4" x14ac:dyDescent="0.25">
      <c r="C2" s="1" t="s">
        <v>28</v>
      </c>
      <c r="D2" t="s">
        <v>29</v>
      </c>
    </row>
    <row r="3" spans="2:4" x14ac:dyDescent="0.25">
      <c r="B3">
        <v>2015</v>
      </c>
      <c r="C3" s="1">
        <v>550000000</v>
      </c>
    </row>
    <row r="4" spans="2:4" x14ac:dyDescent="0.25">
      <c r="B4">
        <v>2016</v>
      </c>
      <c r="D4" s="1">
        <v>50000000</v>
      </c>
    </row>
    <row r="5" spans="2:4" x14ac:dyDescent="0.25">
      <c r="B5">
        <v>2017</v>
      </c>
      <c r="D5" s="1">
        <v>250000000</v>
      </c>
    </row>
    <row r="6" spans="2:4" x14ac:dyDescent="0.25">
      <c r="B6">
        <v>2018</v>
      </c>
      <c r="C6" s="1">
        <v>30000000</v>
      </c>
      <c r="D6" s="1"/>
    </row>
    <row r="7" spans="2:4" x14ac:dyDescent="0.25">
      <c r="B7">
        <v>2019</v>
      </c>
      <c r="C7" s="1">
        <v>25000000</v>
      </c>
      <c r="D7" s="1"/>
    </row>
    <row r="8" spans="2:4" x14ac:dyDescent="0.25">
      <c r="B8">
        <v>2020</v>
      </c>
      <c r="C8" s="1">
        <v>35000000</v>
      </c>
      <c r="D8" s="1"/>
    </row>
    <row r="9" spans="2:4" x14ac:dyDescent="0.25">
      <c r="B9">
        <v>2021</v>
      </c>
      <c r="D9" s="1">
        <v>300000000</v>
      </c>
    </row>
    <row r="10" spans="2:4" x14ac:dyDescent="0.25">
      <c r="B10">
        <v>2022</v>
      </c>
      <c r="D10" s="1">
        <v>15000000</v>
      </c>
    </row>
    <row r="11" spans="2:4" x14ac:dyDescent="0.25">
      <c r="B11">
        <v>2023</v>
      </c>
      <c r="C11" s="1">
        <v>10000000</v>
      </c>
      <c r="D11" s="1"/>
    </row>
    <row r="12" spans="2:4" x14ac:dyDescent="0.25">
      <c r="B12">
        <v>2024</v>
      </c>
      <c r="D12" s="1">
        <v>20000000</v>
      </c>
    </row>
    <row r="13" spans="2:4" x14ac:dyDescent="0.25">
      <c r="B13">
        <v>2025</v>
      </c>
      <c r="D13" s="1">
        <v>30000000</v>
      </c>
    </row>
    <row r="14" spans="2:4" x14ac:dyDescent="0.25">
      <c r="B14">
        <v>2026</v>
      </c>
      <c r="D14" s="1"/>
    </row>
    <row r="15" spans="2:4" x14ac:dyDescent="0.25">
      <c r="D15" s="1"/>
    </row>
    <row r="16" spans="2:4" x14ac:dyDescent="0.25">
      <c r="D16" s="1"/>
    </row>
    <row r="17" spans="2:10" s="4" customFormat="1" ht="30" x14ac:dyDescent="0.25">
      <c r="C17" s="9" t="s">
        <v>30</v>
      </c>
      <c r="D17" s="4" t="s">
        <v>19</v>
      </c>
      <c r="E17" s="4" t="s">
        <v>20</v>
      </c>
      <c r="F17" s="4" t="s">
        <v>31</v>
      </c>
      <c r="G17" s="4" t="s">
        <v>32</v>
      </c>
      <c r="H17" s="4" t="s">
        <v>33</v>
      </c>
      <c r="I17" s="4" t="s">
        <v>34</v>
      </c>
    </row>
    <row r="18" spans="2:10" x14ac:dyDescent="0.25">
      <c r="B18">
        <v>2015</v>
      </c>
      <c r="C18" s="1">
        <f>+C3</f>
        <v>550000000</v>
      </c>
      <c r="D18" s="8">
        <v>87.240819999999999</v>
      </c>
      <c r="E18" s="8">
        <v>89.046818000000002</v>
      </c>
      <c r="F18">
        <f>+TRUNC(E18/D18,4)</f>
        <v>1.0206999999999999</v>
      </c>
      <c r="G18" s="1">
        <f>+F18*C18</f>
        <v>561385000</v>
      </c>
      <c r="H18" s="1"/>
      <c r="I18" s="1"/>
    </row>
    <row r="19" spans="2:10" x14ac:dyDescent="0.25">
      <c r="C19" s="1">
        <f>+G18</f>
        <v>561385000</v>
      </c>
      <c r="D19">
        <f>+E18</f>
        <v>89.046818000000002</v>
      </c>
      <c r="E19" s="8">
        <v>89.324027999999998</v>
      </c>
      <c r="F19">
        <f>+TRUNC(E19/D19,4)</f>
        <v>1.0031000000000001</v>
      </c>
      <c r="G19" s="1">
        <f>+C19*F19</f>
        <v>563125293.5</v>
      </c>
      <c r="H19" s="1">
        <f>-D4</f>
        <v>-50000000</v>
      </c>
      <c r="I19" s="1">
        <f>+G19+H19</f>
        <v>513125293.5</v>
      </c>
      <c r="J19">
        <v>2016</v>
      </c>
    </row>
    <row r="20" spans="2:10" x14ac:dyDescent="0.25">
      <c r="C20" s="1">
        <f>+I19</f>
        <v>513125293.5</v>
      </c>
      <c r="D20">
        <f>+E19</f>
        <v>89.324027999999998</v>
      </c>
      <c r="E20">
        <v>94.963639999999998</v>
      </c>
      <c r="F20">
        <f>+TRUNC(E20/D20,4)</f>
        <v>1.0630999999999999</v>
      </c>
      <c r="G20" s="1">
        <f>+C20*F20</f>
        <v>545503499.51985002</v>
      </c>
      <c r="H20" s="1">
        <f>-D5</f>
        <v>-250000000</v>
      </c>
      <c r="I20" s="1">
        <f>+G20+H20</f>
        <v>295503499.51985002</v>
      </c>
      <c r="J20">
        <v>2017</v>
      </c>
    </row>
    <row r="21" spans="2:10" x14ac:dyDescent="0.25">
      <c r="C21" s="1">
        <f>+I20</f>
        <v>295503499.51985002</v>
      </c>
      <c r="D21">
        <f>+E20</f>
        <v>94.963639999999998</v>
      </c>
      <c r="E21">
        <v>113.018</v>
      </c>
      <c r="F21">
        <f>+TRUNC(E21/D21,4)</f>
        <v>1.1900999999999999</v>
      </c>
      <c r="G21" s="1">
        <f>+C21*F21</f>
        <v>351678714.77857351</v>
      </c>
      <c r="H21" s="1">
        <f>-D9</f>
        <v>-300000000</v>
      </c>
      <c r="I21" s="1">
        <f>+G21+H21</f>
        <v>51678714.778573513</v>
      </c>
      <c r="J21">
        <v>2021</v>
      </c>
    </row>
    <row r="22" spans="2:10" x14ac:dyDescent="0.25">
      <c r="C22" s="1">
        <f>+I21</f>
        <v>51678714.778573513</v>
      </c>
      <c r="D22">
        <f>+E21</f>
        <v>113.018</v>
      </c>
      <c r="E22">
        <v>122.044</v>
      </c>
      <c r="F22">
        <f>+TRUNC(E22/D22,4)</f>
        <v>1.0798000000000001</v>
      </c>
      <c r="G22" s="1">
        <f>+C22*F22</f>
        <v>55802676.217903681</v>
      </c>
      <c r="H22" s="1">
        <f>-D10</f>
        <v>-15000000</v>
      </c>
      <c r="I22" s="1">
        <f>+G22+H22</f>
        <v>40802676.217903681</v>
      </c>
      <c r="J22">
        <v>2022</v>
      </c>
    </row>
    <row r="23" spans="2:10" x14ac:dyDescent="0.25">
      <c r="C23" s="1">
        <f>+I22</f>
        <v>40802676.217903681</v>
      </c>
      <c r="D23">
        <f>+E22</f>
        <v>122.044</v>
      </c>
      <c r="E23">
        <v>134.59399999999999</v>
      </c>
      <c r="F23">
        <f>+TRUNC(E23/D23,4)</f>
        <v>1.1028</v>
      </c>
      <c r="G23" s="1">
        <f>+C23*F23</f>
        <v>44997191.333104178</v>
      </c>
      <c r="H23" s="1">
        <f>-D12</f>
        <v>-20000000</v>
      </c>
      <c r="I23" s="1">
        <f>+G23+H23</f>
        <v>24997191.333104178</v>
      </c>
      <c r="J23">
        <v>2024</v>
      </c>
    </row>
    <row r="24" spans="2:10" x14ac:dyDescent="0.25">
      <c r="C24" s="1">
        <f>+I23</f>
        <v>24997191.333104178</v>
      </c>
      <c r="D24">
        <f>+E23</f>
        <v>134.59399999999999</v>
      </c>
      <c r="E24">
        <v>140.405</v>
      </c>
      <c r="F24">
        <f>+TRUNC(E24/D24,4)</f>
        <v>1.0430999999999999</v>
      </c>
      <c r="G24" s="1">
        <f>+C24*F24</f>
        <v>26074570.279560965</v>
      </c>
      <c r="H24" s="1">
        <f>-G24</f>
        <v>-26074570.279560965</v>
      </c>
      <c r="I24" s="1">
        <f>+G24+H24</f>
        <v>0</v>
      </c>
      <c r="J24">
        <v>2025</v>
      </c>
    </row>
    <row r="25" spans="2:10" x14ac:dyDescent="0.25">
      <c r="G25" s="1"/>
      <c r="H25" s="1"/>
      <c r="I25" s="1"/>
    </row>
    <row r="26" spans="2:10" x14ac:dyDescent="0.25">
      <c r="B26">
        <v>2018</v>
      </c>
      <c r="C26" s="1">
        <f>+C6</f>
        <v>30000000</v>
      </c>
      <c r="D26">
        <v>99.909000000000006</v>
      </c>
      <c r="E26">
        <v>103.02</v>
      </c>
      <c r="F26">
        <f>+TRUNC(E26/D26,4)</f>
        <v>1.0310999999999999</v>
      </c>
      <c r="G26" s="1">
        <f>+F26*C26</f>
        <v>30932999.999999996</v>
      </c>
    </row>
    <row r="27" spans="2:10" x14ac:dyDescent="0.25">
      <c r="C27" s="1">
        <f>+G26</f>
        <v>30932999.999999996</v>
      </c>
      <c r="D27">
        <f>+E26</f>
        <v>103.02</v>
      </c>
      <c r="E27">
        <f>+E24</f>
        <v>140.405</v>
      </c>
      <c r="F27">
        <f>+TRUNC(E27/D27,4)</f>
        <v>1.3628</v>
      </c>
      <c r="G27" s="1">
        <f>+C27*F27</f>
        <v>42155492.399999999</v>
      </c>
      <c r="H27" s="1">
        <f>-(D13+H24)</f>
        <v>-3925429.7204390354</v>
      </c>
      <c r="I27" s="1">
        <f>+G27+H27</f>
        <v>38230062.679560959</v>
      </c>
      <c r="J2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Inversiones</vt:lpstr>
      <vt:lpstr>Pérdidas fiscales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salones</dc:creator>
  <cp:lastModifiedBy>salones</cp:lastModifiedBy>
  <dcterms:created xsi:type="dcterms:W3CDTF">2026-03-19T13:28:30Z</dcterms:created>
  <dcterms:modified xsi:type="dcterms:W3CDTF">2026-03-19T15:55:17Z</dcterms:modified>
</cp:coreProperties>
</file>