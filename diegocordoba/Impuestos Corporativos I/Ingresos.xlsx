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tam2-my.sharepoint.com/personal/dcordoba_itam_mx/Documents/"/>
    </mc:Choice>
  </mc:AlternateContent>
  <xr:revisionPtr revIDLastSave="0" documentId="8_{2D7BE1D1-20FC-8C40-9142-84C22DD5FB3C}" xr6:coauthVersionLast="47" xr6:coauthVersionMax="47" xr10:uidLastSave="{00000000-0000-0000-0000-000000000000}"/>
  <bookViews>
    <workbookView xWindow="4440" yWindow="2680" windowWidth="28040" windowHeight="17440" activeTab="1" xr2:uid="{128B0092-8A68-3D45-85CB-B9891AD0EB27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8" i="2" l="1"/>
  <c r="B15" i="2"/>
  <c r="B15" i="1"/>
  <c r="B13" i="1"/>
  <c r="H9" i="2" l="1"/>
  <c r="H10" i="2" s="1"/>
  <c r="H12" i="2" l="1"/>
  <c r="H13" i="2" l="1"/>
</calcChain>
</file>

<file path=xl/sharedStrings.xml><?xml version="1.0" encoding="utf-8"?>
<sst xmlns="http://schemas.openxmlformats.org/spreadsheetml/2006/main" count="20" uniqueCount="17">
  <si>
    <t>deduccion</t>
  </si>
  <si>
    <t>-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</si>
  <si>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</si>
  <si>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</si>
  <si>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</si>
  <si>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</si>
  <si>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</si>
  <si>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</si>
  <si>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</si>
  <si>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</si>
  <si>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</si>
  <si>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</si>
  <si>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IA</t>
  </si>
  <si>
    <t>UF</t>
  </si>
  <si>
    <t>RF</t>
  </si>
  <si>
    <t>ISR por pagar</t>
  </si>
  <si>
    <t>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</si>
</sst>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2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">
    <xf numFmtId="0" fontId="0" fillId="0" borderId="0" xfId="0"/>
    <xf numFmtId="43" fontId="0" fillId="0" borderId="0" xfId="1" applyFont="1"/>
    <xf numFmtId="43" fontId="0" fillId="0" borderId="0" xfId="0" applyNumberFormat="1"/>
    <xf numFmtId="9" fontId="0" fillId="0" borderId="0" xfId="0" applyNumberForma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5A6D3C-51C0-8E4A-A43D-2C9B28BDF9D7}">
  <dimension ref="A4:C15"/>
  <sheetViews>
    <sheetView workbookViewId="0">
      <selection activeCell="B16" sqref="B16"/>
    </sheetView>
  </sheetViews>
  <sheetFormatPr baseColWidth="10" defaultRowHeight="16" x14ac:dyDescent="0.2"/>
  <cols>
    <col min="2" max="2" width="14" bestFit="1" customWidth="1"/>
  </cols>
  <sheetData>
    <row r="4" spans="1:3" x14ac:dyDescent="0.2">
      <c r="A4">
        <v>1</v>
      </c>
      <c r="B4" s="1">
        <v>7000000</v>
      </c>
      <c r="C4" t="s">
        <v>0</v>
      </c>
    </row>
    <row r="5" spans="1:3" x14ac:dyDescent="0.2">
      <c r="A5">
        <v>2</v>
      </c>
      <c r="B5" s="1">
        <v>1500000</v>
      </c>
      <c r="C5" t="s">
        <v>0</v>
      </c>
    </row>
    <row r="6" spans="1:3" x14ac:dyDescent="0.2">
      <c r="A6">
        <v>3</v>
      </c>
      <c r="B6" s="1">
        <v>3500000</v>
      </c>
      <c r="C6" t="s">
        <v>0</v>
      </c>
    </row>
    <row r="7" spans="1:3" x14ac:dyDescent="0.2">
      <c r="A7">
        <v>4</v>
      </c>
      <c r="B7" s="1">
        <v>7000000</v>
      </c>
      <c r="C7" t="s">
        <v>0</v>
      </c>
    </row>
    <row r="8" spans="1:3" x14ac:dyDescent="0.2">
      <c r="A8">
        <v>5</v>
      </c>
      <c r="B8" s="1" t="s">
        <v>1</v>
      </c>
    </row>
    <row r="9" spans="1:3" x14ac:dyDescent="0.2">
      <c r="A9">
        <v>6</v>
      </c>
      <c r="B9" s="1">
        <v>12000000</v>
      </c>
    </row>
    <row r="11" spans="1:3" x14ac:dyDescent="0.2">
      <c r="B11" s="1">
        <v>35000000</v>
      </c>
    </row>
    <row r="13" spans="1:3" x14ac:dyDescent="0.2">
      <c r="B13" s="2">
        <f>SUM(B4:B9)</f>
        <v>31000000</v>
      </c>
    </row>
    <row r="15" spans="1:3" x14ac:dyDescent="0.2">
      <c r="B15" s="2">
        <f>B11-B13</f>
        <v>4000000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ACBA8D-BAFC-F14F-A50F-6C5B264DCF8E}">
  <dimension ref="A4:H15"/>
  <sheetViews>
    <sheetView tabSelected="1" workbookViewId="0">
      <selection activeCell="H8" sqref="H8"/>
    </sheetView>
  </sheetViews>
  <sheetFormatPr baseColWidth="10" defaultRowHeight="16" x14ac:dyDescent="0.2"/>
  <cols>
    <col min="2" max="2" width="14.6640625" bestFit="1" customWidth="1"/>
    <col min="7" max="7" width="11.6640625" bestFit="1" customWidth="1"/>
    <col min="8" max="8" width="14" bestFit="1" customWidth="1"/>
  </cols>
  <sheetData>
    <row r="4" spans="1:8" x14ac:dyDescent="0.2">
      <c r="A4" t="s">
        <v>2</v>
      </c>
      <c r="B4" s="1">
        <v>0</v>
      </c>
    </row>
    <row r="5" spans="1:8" x14ac:dyDescent="0.2">
      <c r="A5" t="s">
        <v>3</v>
      </c>
      <c r="B5" s="1">
        <v>500000</v>
      </c>
    </row>
    <row r="6" spans="1:8" x14ac:dyDescent="0.2">
      <c r="A6" t="s">
        <v>4</v>
      </c>
      <c r="B6" s="1">
        <v>3000000</v>
      </c>
    </row>
    <row r="7" spans="1:8" x14ac:dyDescent="0.2">
      <c r="A7" t="s">
        <v>5</v>
      </c>
      <c r="B7" s="1">
        <v>19500000</v>
      </c>
    </row>
    <row r="8" spans="1:8" x14ac:dyDescent="0.2">
      <c r="A8" t="s">
        <v>6</v>
      </c>
      <c r="B8" s="1">
        <v>0</v>
      </c>
      <c r="G8" t="s">
        <v>12</v>
      </c>
      <c r="H8" s="2">
        <f>B5+B6+B7+B10+B13</f>
        <v>28300000</v>
      </c>
    </row>
    <row r="9" spans="1:8" x14ac:dyDescent="0.2">
      <c r="A9" t="s">
        <v>7</v>
      </c>
      <c r="B9" s="1">
        <v>0</v>
      </c>
      <c r="G9" t="s">
        <v>13</v>
      </c>
      <c r="H9" s="2">
        <f>H8+B12</f>
        <v>13125000</v>
      </c>
    </row>
    <row r="10" spans="1:8" x14ac:dyDescent="0.2">
      <c r="A10" t="s">
        <v>8</v>
      </c>
      <c r="B10" s="1">
        <v>2350000</v>
      </c>
      <c r="G10" t="s">
        <v>14</v>
      </c>
      <c r="H10" s="2">
        <f>H9+B11</f>
        <v>12900000</v>
      </c>
    </row>
    <row r="11" spans="1:8" x14ac:dyDescent="0.2">
      <c r="A11" t="s">
        <v>9</v>
      </c>
      <c r="B11" s="1">
        <v>-225000</v>
      </c>
      <c r="G11" s="3">
        <v>0.3</v>
      </c>
    </row>
    <row r="12" spans="1:8" x14ac:dyDescent="0.2">
      <c r="A12" t="s">
        <v>10</v>
      </c>
      <c r="B12" s="1">
        <v>-15175000</v>
      </c>
      <c r="G12" t="s">
        <v>15</v>
      </c>
      <c r="H12" s="2">
        <f>H10*G11</f>
        <v>3870000</v>
      </c>
    </row>
    <row r="13" spans="1:8" x14ac:dyDescent="0.2">
      <c r="A13" t="s">
        <v>11</v>
      </c>
      <c r="B13" s="1">
        <v>2950000</v>
      </c>
      <c r="G13" t="s">
        <v>16</v>
      </c>
      <c r="H13" s="2">
        <f>H10-H12</f>
        <v>9030000</v>
      </c>
    </row>
    <row r="15" spans="1:8" x14ac:dyDescent="0.2">
      <c r="B15" s="2">
        <f>SUM(B4:B13)</f>
        <v>12900000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CORDOBA URRUTIA</dc:creator>
  <cp:lastModifiedBy>DIEGO CORDOBA URRUTIA</cp:lastModifiedBy>
  <dcterms:created xsi:type="dcterms:W3CDTF">2026-05-26T16:05:34Z</dcterms:created>
  <dcterms:modified xsi:type="dcterms:W3CDTF">2026-05-28T00:17:20Z</dcterms:modified>
</cp:coreProperties>
</file>