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ones\Desktop\"/>
    </mc:Choice>
  </mc:AlternateContent>
  <xr:revisionPtr revIDLastSave="0" documentId="8_{5014067B-0C53-45F4-BE0F-5997E93A7737}" xr6:coauthVersionLast="47" xr6:coauthVersionMax="47" xr10:uidLastSave="{00000000-0000-0000-0000-000000000000}"/>
  <bookViews>
    <workbookView xWindow="-120" yWindow="-120" windowWidth="29040" windowHeight="15720" xr2:uid="{408B94D8-F549-4565-9A9F-015AD369DC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1" l="1"/>
  <c r="B28" i="1"/>
  <c r="B26" i="1"/>
  <c r="B25" i="1"/>
  <c r="B22" i="1"/>
  <c r="B21" i="1"/>
  <c r="B20" i="1"/>
  <c r="G37" i="1"/>
  <c r="G34" i="1"/>
  <c r="F35" i="1"/>
  <c r="G32" i="1"/>
  <c r="G29" i="1"/>
  <c r="B19" i="1"/>
  <c r="B17" i="1"/>
  <c r="F13" i="1"/>
  <c r="F10" i="1"/>
  <c r="H8" i="1"/>
  <c r="G8" i="1"/>
  <c r="H24" i="1"/>
  <c r="H23" i="1"/>
  <c r="H22" i="1"/>
  <c r="H21" i="1"/>
  <c r="H20" i="1"/>
  <c r="H19" i="1"/>
  <c r="H18" i="1"/>
  <c r="H17" i="1"/>
  <c r="F6" i="1" s="1"/>
  <c r="G6" i="1" s="1"/>
  <c r="H6" i="1" s="1"/>
  <c r="G5" i="1"/>
</calcChain>
</file>

<file path=xl/sharedStrings.xml><?xml version="1.0" encoding="utf-8"?>
<sst xmlns="http://schemas.openxmlformats.org/spreadsheetml/2006/main" count="40" uniqueCount="38">
  <si>
    <t>Utilidad contable</t>
  </si>
  <si>
    <t>IFNC:</t>
  </si>
  <si>
    <t>(+) Anticipos clientes</t>
  </si>
  <si>
    <t>(+) Ingreso reembolso gastos</t>
  </si>
  <si>
    <t>ICNF:</t>
  </si>
  <si>
    <t>(-) Ut. Cambiaria contable</t>
  </si>
  <si>
    <t>(+) Ut. Cambiaria fiscal</t>
  </si>
  <si>
    <t>(-) Ganancia cont. Centenarios</t>
  </si>
  <si>
    <t>(+) Ganancia fiscal centenarios</t>
  </si>
  <si>
    <t>(-) Dividendo sociedad MX</t>
  </si>
  <si>
    <t>Créditos MN</t>
  </si>
  <si>
    <t>Suma</t>
  </si>
  <si>
    <t>Promedio</t>
  </si>
  <si>
    <t>may</t>
  </si>
  <si>
    <t>jun</t>
  </si>
  <si>
    <t>jul</t>
  </si>
  <si>
    <t>ago</t>
  </si>
  <si>
    <t>sep</t>
  </si>
  <si>
    <t>oct</t>
  </si>
  <si>
    <t>nov</t>
  </si>
  <si>
    <t>dic</t>
  </si>
  <si>
    <t>Créditos ME</t>
  </si>
  <si>
    <t>Deudas MN</t>
  </si>
  <si>
    <t>Neto</t>
  </si>
  <si>
    <t>Factor</t>
  </si>
  <si>
    <t>Aj. Anual por infl Deducible</t>
  </si>
  <si>
    <t>DFNC:</t>
  </si>
  <si>
    <t>(-) AAxI deducible</t>
  </si>
  <si>
    <t>Utilidad fiscal</t>
  </si>
  <si>
    <t>Pérdida fiscal 2024</t>
  </si>
  <si>
    <t>INPC Dic 24</t>
  </si>
  <si>
    <t>INPC Nov 24</t>
  </si>
  <si>
    <t>INPC Jun 25</t>
  </si>
  <si>
    <t>(-) PF ejercicios anteriores</t>
  </si>
  <si>
    <t>Resultado fiscal</t>
  </si>
  <si>
    <t>ISR</t>
  </si>
  <si>
    <t>Ingresos nominales</t>
  </si>
  <si>
    <t>Coeficiente para PP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</si>
</sst>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9" formatCode="_-* #,##0_-;\-* #,##0_-;_-* &quot;-&quot;??_-;_-@_-"/>
    <numFmt numFmtId="171" formatCode="_-* #,##0.0000_-;\-* #,##0.0000_-;_-* &quot;-&quot;??_-;_-@_-"/>
    <numFmt numFmtId="172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169" fontId="0" fillId="0" borderId="0" xfId="1" applyNumberFormat="1" applyFont="1"/>
    <xf numFmtId="169" fontId="0" fillId="0" borderId="0" xfId="0" applyNumberFormat="1"/>
    <xf numFmtId="0" fontId="2" fillId="0" borderId="0" xfId="0" applyFont="1"/>
    <xf numFmtId="169" fontId="2" fillId="0" borderId="0" xfId="1" applyNumberFormat="1" applyFont="1"/>
    <xf numFmtId="171" fontId="0" fillId="0" borderId="0" xfId="1" applyNumberFormat="1" applyFont="1"/>
    <xf numFmtId="172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6EEF-E9C9-4CBB-971F-43E3226272B8}">
  <dimension ref="A3:H37"/>
  <sheetViews>
    <sheetView tabSelected="1" zoomScale="130" zoomScaleNormal="130" workbookViewId="0">
      <selection activeCell="B25" sqref="B25"/>
    </sheetView>
  </sheetViews>
  <sheetFormatPr baseColWidth="10" defaultRowHeight="15" x14ac:dyDescent="0.25"/>
  <cols>
    <col min="1" max="1" width="26.140625" customWidth="1"/>
    <col min="2" max="2" width="11.42578125" style="2"/>
    <col min="8" max="8" width="13.140625" bestFit="1" customWidth="1"/>
  </cols>
  <sheetData>
    <row r="3" spans="1:8" x14ac:dyDescent="0.25">
      <c r="A3" s="4" t="s">
        <v>0</v>
      </c>
      <c r="B3" s="5">
        <v>613778</v>
      </c>
    </row>
    <row r="4" spans="1:8" x14ac:dyDescent="0.25">
      <c r="F4" t="s">
        <v>11</v>
      </c>
      <c r="G4" t="s">
        <v>12</v>
      </c>
    </row>
    <row r="5" spans="1:8" x14ac:dyDescent="0.25">
      <c r="A5" t="s">
        <v>1</v>
      </c>
      <c r="E5" t="s">
        <v>10</v>
      </c>
      <c r="F5" s="1">
        <v>32205600</v>
      </c>
      <c r="G5" s="1">
        <f>+F5/12</f>
        <v>2683800</v>
      </c>
    </row>
    <row r="6" spans="1:8" x14ac:dyDescent="0.25">
      <c r="A6" t="s">
        <v>2</v>
      </c>
      <c r="B6" s="2">
        <v>50000</v>
      </c>
      <c r="E6" t="s">
        <v>21</v>
      </c>
      <c r="F6" s="3">
        <f>+SUM(H17:H24)</f>
        <v>27029559.962000005</v>
      </c>
      <c r="G6" s="1">
        <f>+F6/12</f>
        <v>2252463.3301666672</v>
      </c>
      <c r="H6" s="1">
        <f>+G5+G6</f>
        <v>4936263.3301666677</v>
      </c>
    </row>
    <row r="7" spans="1:8" x14ac:dyDescent="0.25">
      <c r="A7" t="s">
        <v>3</v>
      </c>
      <c r="B7" s="2">
        <v>500</v>
      </c>
    </row>
    <row r="8" spans="1:8" x14ac:dyDescent="0.25">
      <c r="A8" t="s">
        <v>6</v>
      </c>
      <c r="B8" s="2">
        <v>47238</v>
      </c>
      <c r="E8" t="s">
        <v>22</v>
      </c>
      <c r="F8">
        <v>80000</v>
      </c>
      <c r="G8" s="1">
        <f>+F8/12</f>
        <v>6666.666666666667</v>
      </c>
      <c r="H8" s="1">
        <f>+G8</f>
        <v>6666.666666666667</v>
      </c>
    </row>
    <row r="9" spans="1:8" x14ac:dyDescent="0.25">
      <c r="A9" t="s">
        <v>8</v>
      </c>
      <c r="B9" s="2">
        <v>4760</v>
      </c>
    </row>
    <row r="10" spans="1:8" x14ac:dyDescent="0.25">
      <c r="E10" t="s">
        <v>23</v>
      </c>
      <c r="F10" s="1">
        <f>+H6-H8</f>
        <v>4929596.6635000007</v>
      </c>
    </row>
    <row r="11" spans="1:8" x14ac:dyDescent="0.25">
      <c r="A11" t="s">
        <v>4</v>
      </c>
    </row>
    <row r="12" spans="1:8" x14ac:dyDescent="0.25">
      <c r="A12" t="s">
        <v>5</v>
      </c>
      <c r="B12" s="2">
        <v>-63254</v>
      </c>
      <c r="E12" t="s">
        <v>24</v>
      </c>
      <c r="F12">
        <v>3.6900000000000002E-2</v>
      </c>
    </row>
    <row r="13" spans="1:8" x14ac:dyDescent="0.25">
      <c r="A13" t="s">
        <v>7</v>
      </c>
      <c r="B13" s="2">
        <v>-5000</v>
      </c>
      <c r="E13" t="s">
        <v>25</v>
      </c>
      <c r="F13" s="1">
        <f>+F10*F12</f>
        <v>181902.11688315004</v>
      </c>
    </row>
    <row r="14" spans="1:8" x14ac:dyDescent="0.25">
      <c r="A14" t="s">
        <v>9</v>
      </c>
      <c r="B14" s="2">
        <v>-5000</v>
      </c>
    </row>
    <row r="16" spans="1:8" x14ac:dyDescent="0.25">
      <c r="A16" t="s">
        <v>26</v>
      </c>
    </row>
    <row r="17" spans="1:8" x14ac:dyDescent="0.25">
      <c r="A17" t="s">
        <v>27</v>
      </c>
      <c r="B17" s="2">
        <f>-F13</f>
        <v>-181902.11688315004</v>
      </c>
      <c r="E17" t="s">
        <v>13</v>
      </c>
      <c r="F17" s="1">
        <v>100000</v>
      </c>
      <c r="G17">
        <v>19.5868</v>
      </c>
      <c r="H17" s="2">
        <f>+F17*G17</f>
        <v>1958680</v>
      </c>
    </row>
    <row r="18" spans="1:8" x14ac:dyDescent="0.25">
      <c r="E18" t="s">
        <v>14</v>
      </c>
      <c r="F18" s="1">
        <v>100000</v>
      </c>
      <c r="G18">
        <v>19.327999999999999</v>
      </c>
      <c r="H18" s="2">
        <f t="shared" ref="H18:H24" si="0">+F18*G18</f>
        <v>1932800</v>
      </c>
    </row>
    <row r="19" spans="1:8" x14ac:dyDescent="0.25">
      <c r="A19" s="4" t="s">
        <v>28</v>
      </c>
      <c r="B19" s="5">
        <f>+SUM(B3:B17)</f>
        <v>461119.88311684993</v>
      </c>
      <c r="E19" t="s">
        <v>15</v>
      </c>
      <c r="F19" s="1">
        <v>100000</v>
      </c>
      <c r="G19">
        <v>18.833200000000001</v>
      </c>
      <c r="H19" s="2">
        <f t="shared" si="0"/>
        <v>1883320.0000000002</v>
      </c>
    </row>
    <row r="20" spans="1:8" x14ac:dyDescent="0.25">
      <c r="A20" t="s">
        <v>33</v>
      </c>
      <c r="B20" s="2">
        <f>-G37</f>
        <v>-29219.694504000003</v>
      </c>
      <c r="E20" t="s">
        <v>16</v>
      </c>
      <c r="F20" s="1">
        <v>70000</v>
      </c>
      <c r="G20">
        <v>18.796299999999999</v>
      </c>
      <c r="H20" s="2">
        <f t="shared" si="0"/>
        <v>1315741</v>
      </c>
    </row>
    <row r="21" spans="1:8" x14ac:dyDescent="0.25">
      <c r="A21" s="4" t="s">
        <v>34</v>
      </c>
      <c r="B21" s="5">
        <f>+B19+B20</f>
        <v>431900.18861284992</v>
      </c>
      <c r="E21" t="s">
        <v>17</v>
      </c>
      <c r="F21" s="1">
        <v>270000</v>
      </c>
      <c r="G21">
        <v>18.643999999999998</v>
      </c>
      <c r="H21" s="2">
        <f t="shared" si="0"/>
        <v>5033880</v>
      </c>
    </row>
    <row r="22" spans="1:8" x14ac:dyDescent="0.25">
      <c r="A22" s="4" t="s">
        <v>35</v>
      </c>
      <c r="B22" s="5">
        <f>+B21*0.3</f>
        <v>129570.05658385497</v>
      </c>
      <c r="E22" t="s">
        <v>18</v>
      </c>
      <c r="F22" s="1">
        <v>270060</v>
      </c>
      <c r="G22">
        <v>18.334199999999999</v>
      </c>
      <c r="H22" s="2">
        <f t="shared" si="0"/>
        <v>4951334.0520000001</v>
      </c>
    </row>
    <row r="23" spans="1:8" x14ac:dyDescent="0.25">
      <c r="E23" t="s">
        <v>19</v>
      </c>
      <c r="F23" s="1">
        <v>270120</v>
      </c>
      <c r="G23">
        <v>18.538</v>
      </c>
      <c r="H23" s="2">
        <f t="shared" si="0"/>
        <v>5007484.5600000005</v>
      </c>
    </row>
    <row r="24" spans="1:8" x14ac:dyDescent="0.25">
      <c r="E24" t="s">
        <v>20</v>
      </c>
      <c r="F24" s="1">
        <v>270180</v>
      </c>
      <c r="G24">
        <v>18.307500000000001</v>
      </c>
      <c r="H24" s="2">
        <f t="shared" si="0"/>
        <v>4946320.3500000006</v>
      </c>
    </row>
    <row r="25" spans="1:8" x14ac:dyDescent="0.25">
      <c r="A25" s="4" t="s">
        <v>36</v>
      </c>
      <c r="B25" s="5">
        <f>+B3+SUM(B6:B9)+SUM(B12:B14)</f>
        <v>643022</v>
      </c>
    </row>
    <row r="26" spans="1:8" x14ac:dyDescent="0.25">
      <c r="A26" s="4" t="s">
        <v>28</v>
      </c>
      <c r="B26" s="5">
        <f>+B19</f>
        <v>461119.88311684993</v>
      </c>
    </row>
    <row r="27" spans="1:8" x14ac:dyDescent="0.25">
      <c r="E27" t="s">
        <v>29</v>
      </c>
      <c r="G27">
        <v>28600</v>
      </c>
    </row>
    <row r="28" spans="1:8" x14ac:dyDescent="0.25">
      <c r="A28" t="s">
        <v>37</v>
      </c>
      <c r="B28" s="6">
        <f>+TRUNC(B26/B25,4)</f>
        <v>0.71709999999999996</v>
      </c>
    </row>
    <row r="29" spans="1:8" x14ac:dyDescent="0.25">
      <c r="E29" t="s">
        <v>30</v>
      </c>
      <c r="F29">
        <v>137.94900000000001</v>
      </c>
      <c r="G29">
        <f>+TRUNC(F29/F30,4)</f>
        <v>1.0038</v>
      </c>
    </row>
    <row r="30" spans="1:8" x14ac:dyDescent="0.25">
      <c r="B30" s="7">
        <f>+B22/B3</f>
        <v>0.21110247774253063</v>
      </c>
      <c r="E30" t="s">
        <v>31</v>
      </c>
      <c r="F30">
        <v>137.42400000000001</v>
      </c>
    </row>
    <row r="32" spans="1:8" x14ac:dyDescent="0.25">
      <c r="G32" s="2">
        <f>+G27*G29</f>
        <v>28708.68</v>
      </c>
    </row>
    <row r="34" spans="5:7" x14ac:dyDescent="0.25">
      <c r="E34" t="s">
        <v>32</v>
      </c>
      <c r="F34">
        <v>140.405</v>
      </c>
      <c r="G34">
        <f>+TRUNC(F34/F35,4)</f>
        <v>1.0178</v>
      </c>
    </row>
    <row r="35" spans="5:7" x14ac:dyDescent="0.25">
      <c r="E35" t="s">
        <v>30</v>
      </c>
      <c r="F35">
        <f>+F29</f>
        <v>137.94900000000001</v>
      </c>
    </row>
    <row r="37" spans="5:7" x14ac:dyDescent="0.25">
      <c r="G37" s="2">
        <f>+G32*G34</f>
        <v>29219.694504000003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salones</dc:creator>
  <cp:lastModifiedBy>salones</cp:lastModifiedBy>
  <dcterms:created xsi:type="dcterms:W3CDTF">2026-04-30T14:47:39Z</dcterms:created>
  <dcterms:modified xsi:type="dcterms:W3CDTF">2026-04-30T15:49:41Z</dcterms:modified>
</cp:coreProperties>
</file>